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 activeTab="2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calcChain.xml><?xml version="1.0" encoding="utf-8"?>
<calcChain xmlns="http://schemas.openxmlformats.org/spreadsheetml/2006/main">
  <c r="B13" i="4" l="1"/>
  <c r="C13" i="4"/>
  <c r="D13" i="4"/>
  <c r="E13" i="4"/>
  <c r="A13" i="4"/>
  <c r="D13" i="3"/>
  <c r="I4" i="1" l="1"/>
  <c r="H3" i="1"/>
  <c r="I3" i="1" s="1"/>
  <c r="H10" i="1"/>
  <c r="I10" i="1" s="1"/>
  <c r="H4" i="1"/>
  <c r="H8" i="1"/>
  <c r="I8" i="1" s="1"/>
  <c r="H13" i="1"/>
  <c r="I13" i="1" s="1"/>
  <c r="H12" i="1"/>
  <c r="I12" i="1" s="1"/>
  <c r="H7" i="1"/>
  <c r="I7" i="1" s="1"/>
  <c r="H11" i="1"/>
  <c r="I11" i="1" s="1"/>
  <c r="H5" i="1"/>
  <c r="I5" i="1" s="1"/>
  <c r="H9" i="1"/>
  <c r="I9" i="1" s="1"/>
  <c r="H6" i="1"/>
  <c r="I6" i="1" s="1"/>
  <c r="I14" i="1" l="1"/>
  <c r="H14" i="1"/>
</calcChain>
</file>

<file path=xl/sharedStrings.xml><?xml version="1.0" encoding="utf-8"?>
<sst xmlns="http://schemas.openxmlformats.org/spreadsheetml/2006/main" count="61" uniqueCount="31">
  <si>
    <t>Sl. No.</t>
  </si>
  <si>
    <t>SW Domain</t>
  </si>
  <si>
    <t>Obtainable by BEL</t>
  </si>
  <si>
    <t>2025 - 26</t>
  </si>
  <si>
    <t>2026 - 27</t>
  </si>
  <si>
    <t>2027 - 28</t>
  </si>
  <si>
    <t>2028 - 29</t>
  </si>
  <si>
    <t>2029 - 30</t>
  </si>
  <si>
    <t>ERP</t>
  </si>
  <si>
    <t>Digital Identity/Blockchain</t>
  </si>
  <si>
    <t>HMIS</t>
  </si>
  <si>
    <t>AI/ML</t>
  </si>
  <si>
    <t xml:space="preserve">Digital Agriculture </t>
  </si>
  <si>
    <t>Simulation Platforms</t>
  </si>
  <si>
    <t>Cloud Services(MSP)</t>
  </si>
  <si>
    <t>BFSI</t>
  </si>
  <si>
    <t>DRDO Projects</t>
  </si>
  <si>
    <t>Defence Projects</t>
  </si>
  <si>
    <t>B2B Projects</t>
  </si>
  <si>
    <t>-</t>
  </si>
  <si>
    <t>total</t>
  </si>
  <si>
    <t>Overall Obtainable by BEL (2025-2030</t>
  </si>
  <si>
    <t xml:space="preserve">Overall Available Business
</t>
  </si>
  <si>
    <t>Digital Transformation(Digital Identity, Blockchain, Other IT Projects)</t>
  </si>
  <si>
    <t>Digital Agriculture</t>
  </si>
  <si>
    <t>Cloud Services (MSP)</t>
  </si>
  <si>
    <t>TOTAL</t>
  </si>
  <si>
    <t>Business Segment</t>
  </si>
  <si>
    <t>Overall Available Business</t>
  </si>
  <si>
    <t>Overall Obtainable by BEL (2025-2030)</t>
  </si>
  <si>
    <t xml:space="preserve"> Dig 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</si>
</sst>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FFFFFF"/>
      <name val="Arial Black"/>
      <family val="2"/>
    </font>
    <font>
      <sz val="10.5"/>
      <color rgb="FFFFFFFF"/>
      <name val="Arial Black"/>
      <family val="2"/>
    </font>
    <font>
      <sz val="12"/>
      <color rgb="FFFFFFFF"/>
      <name val="Arial Black"/>
      <family val="2"/>
    </font>
    <font>
      <sz val="14"/>
      <color rgb="FF2C2C2C"/>
      <name val="Yu Gothic UI Semibold"/>
      <family val="2"/>
    </font>
    <font>
      <sz val="14"/>
      <color rgb="FF2C2C2C"/>
      <name val="Yu Gothic UI Semibold"/>
    </font>
    <font>
      <sz val="11"/>
      <color theme="1"/>
      <name val="Yu Gothic UI Semibold"/>
      <family val="2"/>
    </font>
    <font>
      <sz val="11"/>
      <name val="Calibri"/>
      <family val="2"/>
      <scheme val="minor"/>
    </font>
    <font>
      <b/>
      <sz val="14"/>
      <color rgb="FF2C2C2C"/>
      <name val="Yu Gothic UI Semibold"/>
    </font>
    <font>
      <sz val="12"/>
      <color rgb="FF2C2C2C"/>
      <name val="Yu Gothic UI Semibold"/>
      <family val="2"/>
    </font>
    <font>
      <sz val="18"/>
      <name val="Arial"/>
      <family val="2"/>
    </font>
    <font>
      <sz val="11"/>
      <color rgb="FFFFFFFF"/>
      <name val="Yu Gothic UI Semibold"/>
      <family val="2"/>
    </font>
    <font>
      <b/>
      <sz val="10.5"/>
      <color rgb="FFFFFFFF"/>
      <name val="Yu Gothic UI Semibold"/>
      <family val="2"/>
    </font>
    <font>
      <b/>
      <sz val="14"/>
      <color rgb="FF2C2C2C"/>
      <name val="Yu Gothic UI Semibold"/>
      <family val="2"/>
    </font>
  </fonts>
  <fills count="7">
    <fill>
      <patternFill patternType="none"/>
    </fill>
    <fill>
      <patternFill patternType="gray125"/>
    </fill>
    <fill>
      <patternFill patternType="solid">
        <fgColor rgb="FF604A7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E46C0A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medium">
        <color rgb="FFE46C0A"/>
      </left>
      <right style="medium">
        <color rgb="FFFFFFFF"/>
      </right>
      <top style="medium">
        <color rgb="FFE46C0A"/>
      </top>
      <bottom/>
      <diagonal/>
    </border>
    <border>
      <left style="medium">
        <color rgb="FFFFFFFF"/>
      </left>
      <right style="medium">
        <color rgb="FFFFFFFF"/>
      </right>
      <top style="medium">
        <color rgb="FFE46C0A"/>
      </top>
      <bottom/>
      <diagonal/>
    </border>
    <border>
      <left style="medium">
        <color rgb="FFFFFFFF"/>
      </left>
      <right style="medium">
        <color rgb="FFFFFFFF"/>
      </right>
      <top style="medium">
        <color rgb="FFE46C0A"/>
      </top>
      <bottom style="medium">
        <color rgb="FFFFFFFF"/>
      </bottom>
      <diagonal/>
    </border>
    <border>
      <left style="medium">
        <color rgb="FFFFFFFF"/>
      </left>
      <right style="medium">
        <color rgb="FFE46C0A"/>
      </right>
      <top style="medium">
        <color rgb="FFE46C0A"/>
      </top>
      <bottom style="medium">
        <color rgb="FFFFFFFF"/>
      </bottom>
      <diagonal/>
    </border>
    <border>
      <left style="medium">
        <color rgb="FFE46C0A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E46C0A"/>
      </right>
      <top style="medium">
        <color rgb="FFFFFFFF"/>
      </top>
      <bottom style="medium">
        <color rgb="FFFFFFFF"/>
      </bottom>
      <diagonal/>
    </border>
    <border>
      <left style="medium">
        <color rgb="FFE46C0A"/>
      </left>
      <right style="medium">
        <color rgb="FFE46C0A"/>
      </right>
      <top style="medium">
        <color rgb="FFFFFFFF"/>
      </top>
      <bottom style="medium">
        <color rgb="FFE46C0A"/>
      </bottom>
      <diagonal/>
    </border>
    <border>
      <left style="medium">
        <color rgb="FFE46C0A"/>
      </left>
      <right style="medium">
        <color rgb="FFE46C0A"/>
      </right>
      <top style="medium">
        <color rgb="FFE46C0A"/>
      </top>
      <bottom style="medium">
        <color rgb="FFE46C0A"/>
      </bottom>
      <diagonal/>
    </border>
    <border>
      <left style="medium">
        <color rgb="FFE46C0A"/>
      </left>
      <right style="medium">
        <color rgb="FFE46C0A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3" fillId="2" borderId="6" xfId="0" applyFont="1" applyFill="1" applyBorder="1" applyAlignment="1">
      <alignment horizontal="center" vertical="center" wrapText="1" readingOrder="1"/>
    </xf>
    <xf numFmtId="0" fontId="3" fillId="2" borderId="7" xfId="0" applyFont="1" applyFill="1" applyBorder="1" applyAlignment="1">
      <alignment horizontal="center" vertical="center" wrapText="1" readingOrder="1"/>
    </xf>
    <xf numFmtId="0" fontId="4" fillId="3" borderId="8" xfId="0" applyFont="1" applyFill="1" applyBorder="1" applyAlignment="1">
      <alignment horizontal="center" vertical="center" wrapText="1" readingOrder="1"/>
    </xf>
    <xf numFmtId="0" fontId="4" fillId="3" borderId="8" xfId="0" applyFont="1" applyFill="1" applyBorder="1" applyAlignment="1">
      <alignment horizontal="left" vertical="center" wrapText="1" readingOrder="1"/>
    </xf>
    <xf numFmtId="0" fontId="5" fillId="4" borderId="9" xfId="0" applyFont="1" applyFill="1" applyBorder="1" applyAlignment="1">
      <alignment horizontal="left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3" borderId="9" xfId="0" applyFont="1" applyFill="1" applyBorder="1" applyAlignment="1">
      <alignment horizontal="left" vertical="center" wrapText="1" readingOrder="1"/>
    </xf>
    <xf numFmtId="0" fontId="5" fillId="3" borderId="9" xfId="0" applyFont="1" applyFill="1" applyBorder="1" applyAlignment="1">
      <alignment horizontal="center" vertical="center" wrapText="1" readingOrder="1"/>
    </xf>
    <xf numFmtId="0" fontId="5" fillId="3" borderId="9" xfId="0" applyFont="1" applyFill="1" applyBorder="1" applyAlignment="1">
      <alignment horizontal="center" wrapText="1" readingOrder="1"/>
    </xf>
    <xf numFmtId="0" fontId="5" fillId="4" borderId="9" xfId="0" applyFont="1" applyFill="1" applyBorder="1" applyAlignment="1">
      <alignment horizontal="center" wrapText="1" readingOrder="1"/>
    </xf>
    <xf numFmtId="0" fontId="5" fillId="4" borderId="10" xfId="0" applyFont="1" applyFill="1" applyBorder="1" applyAlignment="1">
      <alignment horizontal="left" vertical="center" wrapText="1" readingOrder="1"/>
    </xf>
    <xf numFmtId="0" fontId="6" fillId="0" borderId="0" xfId="0" applyFo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7" fillId="0" borderId="0" xfId="0" applyFont="1" applyAlignment="1">
      <alignment wrapText="1"/>
    </xf>
    <xf numFmtId="0" fontId="5" fillId="3" borderId="8" xfId="0" applyFont="1" applyFill="1" applyBorder="1" applyAlignment="1">
      <alignment horizontal="center" vertical="center" wrapText="1" readingOrder="1"/>
    </xf>
    <xf numFmtId="0" fontId="8" fillId="4" borderId="9" xfId="0" applyFont="1" applyFill="1" applyBorder="1" applyAlignment="1">
      <alignment horizontal="left" vertical="center" wrapText="1" readingOrder="1"/>
    </xf>
    <xf numFmtId="0" fontId="8" fillId="4" borderId="9" xfId="0" applyFont="1" applyFill="1" applyBorder="1" applyAlignment="1">
      <alignment horizontal="center" vertical="center" wrapText="1" readingOrder="1"/>
    </xf>
    <xf numFmtId="0" fontId="9" fillId="3" borderId="8" xfId="0" applyFont="1" applyFill="1" applyBorder="1" applyAlignment="1">
      <alignment horizontal="left" vertical="center" wrapText="1" readingOrder="1"/>
    </xf>
    <xf numFmtId="0" fontId="11" fillId="5" borderId="1" xfId="0" applyFont="1" applyFill="1" applyBorder="1" applyAlignment="1">
      <alignment horizontal="center" vertical="center" wrapText="1" readingOrder="1"/>
    </xf>
    <xf numFmtId="0" fontId="11" fillId="5" borderId="2" xfId="0" applyFont="1" applyFill="1" applyBorder="1" applyAlignment="1">
      <alignment horizontal="center" vertical="center" wrapText="1" readingOrder="1"/>
    </xf>
    <xf numFmtId="0" fontId="12" fillId="5" borderId="3" xfId="0" applyFont="1" applyFill="1" applyBorder="1" applyAlignment="1">
      <alignment horizontal="center" vertical="center" wrapText="1" readingOrder="1"/>
    </xf>
    <xf numFmtId="0" fontId="11" fillId="5" borderId="4" xfId="0" applyFont="1" applyFill="1" applyBorder="1" applyAlignment="1">
      <alignment horizontal="center" vertical="center" wrapText="1" readingOrder="1"/>
    </xf>
    <xf numFmtId="0" fontId="9" fillId="3" borderId="8" xfId="0" applyFont="1" applyFill="1" applyBorder="1" applyAlignment="1">
      <alignment horizontal="center" vertical="center" wrapText="1" readingOrder="1"/>
    </xf>
    <xf numFmtId="0" fontId="9" fillId="4" borderId="9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left" vertical="center" wrapText="1" readingOrder="1"/>
    </xf>
    <xf numFmtId="0" fontId="9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left" vertical="center" wrapText="1" readingOrder="1"/>
    </xf>
    <xf numFmtId="0" fontId="9" fillId="6" borderId="9" xfId="0" applyFont="1" applyFill="1" applyBorder="1" applyAlignment="1">
      <alignment horizontal="center" vertical="center" wrapText="1" readingOrder="1"/>
    </xf>
    <xf numFmtId="0" fontId="4" fillId="6" borderId="9" xfId="0" applyFont="1" applyFill="1" applyBorder="1" applyAlignment="1">
      <alignment horizontal="left" vertical="center" wrapText="1" readingOrder="1"/>
    </xf>
    <xf numFmtId="0" fontId="10" fillId="4" borderId="9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left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wrapText="1" readingOrder="1"/>
    </xf>
    <xf numFmtId="0" fontId="13" fillId="4" borderId="9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Overall Obtainable by BEL (2025-2030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Sheet1!$B$3:$B$13</c:f>
              <c:strCache>
                <c:ptCount val="11"/>
                <c:pt idx="0">
                  <c:v>Digital Transformation(Digital Identity, Blockchain, Other IT Projects)</c:v>
                </c:pt>
                <c:pt idx="1">
                  <c:v>ERP</c:v>
                </c:pt>
                <c:pt idx="2">
                  <c:v>AI/ML</c:v>
                </c:pt>
                <c:pt idx="3">
                  <c:v>Simulation Platforms</c:v>
                </c:pt>
                <c:pt idx="4">
                  <c:v>HMIS</c:v>
                </c:pt>
                <c:pt idx="5">
                  <c:v>BFSI</c:v>
                </c:pt>
                <c:pt idx="6">
                  <c:v>B2B Projects</c:v>
                </c:pt>
                <c:pt idx="7">
                  <c:v>Digital Agriculture</c:v>
                </c:pt>
                <c:pt idx="8">
                  <c:v>DRDO Projects</c:v>
                </c:pt>
                <c:pt idx="9">
                  <c:v>Defence Projects</c:v>
                </c:pt>
                <c:pt idx="10">
                  <c:v>Cloud Services (MSP)</c:v>
                </c:pt>
              </c:strCache>
            </c:strRef>
          </c:cat>
          <c:val>
            <c:numRef>
              <c:f>Sheet1!$H$3:$H$13</c:f>
              <c:numCache>
                <c:formatCode>General</c:formatCode>
                <c:ptCount val="11"/>
                <c:pt idx="0">
                  <c:v>745</c:v>
                </c:pt>
                <c:pt idx="1">
                  <c:v>575</c:v>
                </c:pt>
                <c:pt idx="2">
                  <c:v>470</c:v>
                </c:pt>
                <c:pt idx="3">
                  <c:v>405</c:v>
                </c:pt>
                <c:pt idx="4">
                  <c:v>380</c:v>
                </c:pt>
                <c:pt idx="5">
                  <c:v>365</c:v>
                </c:pt>
                <c:pt idx="6">
                  <c:v>330</c:v>
                </c:pt>
                <c:pt idx="7">
                  <c:v>245</c:v>
                </c:pt>
                <c:pt idx="8">
                  <c:v>220</c:v>
                </c:pt>
                <c:pt idx="9">
                  <c:v>170</c:v>
                </c:pt>
                <c:pt idx="10">
                  <c:v>140</c:v>
                </c:pt>
              </c:numCache>
            </c:numRef>
          </c:val>
        </c:ser>
        <c:ser>
          <c:idx val="1"/>
          <c:order val="1"/>
          <c:tx>
            <c:strRef>
              <c:f>Sheet1!$I$2</c:f>
              <c:strCache>
                <c:ptCount val="1"/>
                <c:pt idx="0">
                  <c:v>Overall Available Business
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Sheet1!$B$3:$B$13</c:f>
              <c:strCache>
                <c:ptCount val="11"/>
                <c:pt idx="0">
                  <c:v>Digital Transformation(Digital Identity, Blockchain, Other IT Projects)</c:v>
                </c:pt>
                <c:pt idx="1">
                  <c:v>ERP</c:v>
                </c:pt>
                <c:pt idx="2">
                  <c:v>AI/ML</c:v>
                </c:pt>
                <c:pt idx="3">
                  <c:v>Simulation Platforms</c:v>
                </c:pt>
                <c:pt idx="4">
                  <c:v>HMIS</c:v>
                </c:pt>
                <c:pt idx="5">
                  <c:v>BFSI</c:v>
                </c:pt>
                <c:pt idx="6">
                  <c:v>B2B Projects</c:v>
                </c:pt>
                <c:pt idx="7">
                  <c:v>Digital Agriculture</c:v>
                </c:pt>
                <c:pt idx="8">
                  <c:v>DRDO Projects</c:v>
                </c:pt>
                <c:pt idx="9">
                  <c:v>Defence Projects</c:v>
                </c:pt>
                <c:pt idx="10">
                  <c:v>Cloud Services (MSP)</c:v>
                </c:pt>
              </c:strCache>
            </c:strRef>
          </c:cat>
          <c:val>
            <c:numRef>
              <c:f>Sheet1!$I$3:$I$13</c:f>
              <c:numCache>
                <c:formatCode>General</c:formatCode>
                <c:ptCount val="11"/>
                <c:pt idx="0">
                  <c:v>5960</c:v>
                </c:pt>
                <c:pt idx="1">
                  <c:v>4600</c:v>
                </c:pt>
                <c:pt idx="2">
                  <c:v>3760</c:v>
                </c:pt>
                <c:pt idx="3">
                  <c:v>3240</c:v>
                </c:pt>
                <c:pt idx="4">
                  <c:v>3040</c:v>
                </c:pt>
                <c:pt idx="5">
                  <c:v>2920</c:v>
                </c:pt>
                <c:pt idx="6">
                  <c:v>2640</c:v>
                </c:pt>
                <c:pt idx="7">
                  <c:v>1960</c:v>
                </c:pt>
                <c:pt idx="8">
                  <c:v>1760</c:v>
                </c:pt>
                <c:pt idx="9">
                  <c:v>1360</c:v>
                </c:pt>
                <c:pt idx="10">
                  <c:v>1120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overlap val="100"/>
        <c:axId val="151257088"/>
        <c:axId val="151258624"/>
      </c:barChart>
      <c:catAx>
        <c:axId val="15125708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500"/>
            </a:pPr>
            <a:endParaRPr lang="en-US"/>
          </a:p>
        </c:txPr>
        <c:crossAx val="151258624"/>
        <c:crosses val="autoZero"/>
        <c:auto val="1"/>
        <c:lblAlgn val="ctr"/>
        <c:lblOffset val="100"/>
        <c:noMultiLvlLbl val="0"/>
      </c:catAx>
      <c:valAx>
        <c:axId val="1512586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  <a:alpha val="7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51257088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Overall Available Business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Sheet3!$B$2:$B$12</c:f>
              <c:strCache>
                <c:ptCount val="11"/>
                <c:pt idx="0">
                  <c:v> Dig Transformation</c:v>
                </c:pt>
                <c:pt idx="1">
                  <c:v>ERP</c:v>
                </c:pt>
                <c:pt idx="2">
                  <c:v>AI/ML</c:v>
                </c:pt>
                <c:pt idx="3">
                  <c:v>Simulation Platforms</c:v>
                </c:pt>
                <c:pt idx="4">
                  <c:v>HMIS</c:v>
                </c:pt>
                <c:pt idx="5">
                  <c:v>BFSI</c:v>
                </c:pt>
                <c:pt idx="6">
                  <c:v>B2B Projects</c:v>
                </c:pt>
                <c:pt idx="7">
                  <c:v>Digital Agriculture</c:v>
                </c:pt>
                <c:pt idx="8">
                  <c:v>DRDO Projects</c:v>
                </c:pt>
                <c:pt idx="9">
                  <c:v>Defence Projects</c:v>
                </c:pt>
                <c:pt idx="10">
                  <c:v>Cloud Services (MSP)</c:v>
                </c:pt>
              </c:strCache>
            </c:strRef>
          </c:cat>
          <c:val>
            <c:numRef>
              <c:f>Sheet3!$C$2:$C$12</c:f>
              <c:numCache>
                <c:formatCode>General</c:formatCode>
                <c:ptCount val="11"/>
                <c:pt idx="0">
                  <c:v>7500</c:v>
                </c:pt>
                <c:pt idx="1">
                  <c:v>6000</c:v>
                </c:pt>
                <c:pt idx="2">
                  <c:v>5000</c:v>
                </c:pt>
                <c:pt idx="3">
                  <c:v>4100</c:v>
                </c:pt>
                <c:pt idx="4">
                  <c:v>4000</c:v>
                </c:pt>
                <c:pt idx="5">
                  <c:v>3750</c:v>
                </c:pt>
                <c:pt idx="6">
                  <c:v>5000</c:v>
                </c:pt>
                <c:pt idx="7">
                  <c:v>3000</c:v>
                </c:pt>
                <c:pt idx="8">
                  <c:v>2500</c:v>
                </c:pt>
                <c:pt idx="9">
                  <c:v>2000</c:v>
                </c:pt>
                <c:pt idx="10">
                  <c:v>1500</c:v>
                </c:pt>
              </c:numCache>
            </c:numRef>
          </c:val>
        </c:ser>
        <c:ser>
          <c:idx val="1"/>
          <c:order val="1"/>
          <c:tx>
            <c:strRef>
              <c:f>Sheet3!$D$1</c:f>
              <c:strCache>
                <c:ptCount val="1"/>
                <c:pt idx="0">
                  <c:v>Overall Obtainable by BEL (2025-2030)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Sheet3!$B$2:$B$12</c:f>
              <c:strCache>
                <c:ptCount val="11"/>
                <c:pt idx="0">
                  <c:v> Dig Transformation</c:v>
                </c:pt>
                <c:pt idx="1">
                  <c:v>ERP</c:v>
                </c:pt>
                <c:pt idx="2">
                  <c:v>AI/ML</c:v>
                </c:pt>
                <c:pt idx="3">
                  <c:v>Simulation Platforms</c:v>
                </c:pt>
                <c:pt idx="4">
                  <c:v>HMIS</c:v>
                </c:pt>
                <c:pt idx="5">
                  <c:v>BFSI</c:v>
                </c:pt>
                <c:pt idx="6">
                  <c:v>B2B Projects</c:v>
                </c:pt>
                <c:pt idx="7">
                  <c:v>Digital Agriculture</c:v>
                </c:pt>
                <c:pt idx="8">
                  <c:v>DRDO Projects</c:v>
                </c:pt>
                <c:pt idx="9">
                  <c:v>Defence Projects</c:v>
                </c:pt>
                <c:pt idx="10">
                  <c:v>Cloud Services (MSP)</c:v>
                </c:pt>
              </c:strCache>
            </c:strRef>
          </c:cat>
          <c:val>
            <c:numRef>
              <c:f>Sheet3!$D$2:$D$12</c:f>
              <c:numCache>
                <c:formatCode>General</c:formatCode>
                <c:ptCount val="11"/>
                <c:pt idx="0">
                  <c:v>745</c:v>
                </c:pt>
                <c:pt idx="1">
                  <c:v>575</c:v>
                </c:pt>
                <c:pt idx="2">
                  <c:v>470</c:v>
                </c:pt>
                <c:pt idx="3">
                  <c:v>405</c:v>
                </c:pt>
                <c:pt idx="4">
                  <c:v>380</c:v>
                </c:pt>
                <c:pt idx="5">
                  <c:v>365</c:v>
                </c:pt>
                <c:pt idx="6">
                  <c:v>330</c:v>
                </c:pt>
                <c:pt idx="7">
                  <c:v>245</c:v>
                </c:pt>
                <c:pt idx="8">
                  <c:v>220</c:v>
                </c:pt>
                <c:pt idx="9">
                  <c:v>170</c:v>
                </c:pt>
                <c:pt idx="10">
                  <c:v>140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151321600"/>
        <c:axId val="150958848"/>
      </c:barChart>
      <c:catAx>
        <c:axId val="15132160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400"/>
            </a:pPr>
            <a:endParaRPr lang="en-US"/>
          </a:p>
        </c:txPr>
        <c:crossAx val="150958848"/>
        <c:crosses val="autoZero"/>
        <c:auto val="1"/>
        <c:lblAlgn val="ctr"/>
        <c:lblOffset val="100"/>
        <c:noMultiLvlLbl val="0"/>
      </c:catAx>
      <c:valAx>
        <c:axId val="15095884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  <a:alpha val="71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513216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281608</xdr:colOff>
      <xdr:row>8</xdr:row>
      <xdr:rowOff>5798</xdr:rowOff>
    </xdr:from>
    <xdr:to>
      <xdr:col>22</xdr:col>
      <xdr:colOff>480391</xdr:colOff>
      <xdr:row>16</xdr:row>
      <xdr:rowOff>16565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7</xdr:row>
      <xdr:rowOff>514349</xdr:rowOff>
    </xdr:from>
    <xdr:to>
      <xdr:col>22</xdr:col>
      <xdr:colOff>209550</xdr:colOff>
      <xdr:row>19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opLeftCell="A7" zoomScale="115" zoomScaleNormal="115" workbookViewId="0">
      <selection activeCell="B3" sqref="B3"/>
    </sheetView>
  </sheetViews>
  <sheetFormatPr defaultRowHeight="15" x14ac:dyDescent="0.25"/>
  <cols>
    <col min="8" max="8" width="18" customWidth="1"/>
  </cols>
  <sheetData>
    <row r="1" spans="1:9" ht="48" customHeight="1" thickBot="1" x14ac:dyDescent="0.3">
      <c r="A1" s="41" t="s">
        <v>0</v>
      </c>
      <c r="B1" s="17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2" t="s">
        <v>2</v>
      </c>
    </row>
    <row r="2" spans="1:9" ht="76.5" thickBot="1" x14ac:dyDescent="0.35">
      <c r="A2" s="42"/>
      <c r="B2" s="17" t="s">
        <v>1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14" t="s">
        <v>21</v>
      </c>
      <c r="I2" s="15" t="s">
        <v>22</v>
      </c>
    </row>
    <row r="3" spans="1:9" ht="225" thickBot="1" x14ac:dyDescent="0.3">
      <c r="A3">
        <v>1</v>
      </c>
      <c r="B3" s="22" t="s">
        <v>23</v>
      </c>
      <c r="C3" s="19">
        <v>100</v>
      </c>
      <c r="D3" s="19">
        <v>120</v>
      </c>
      <c r="E3" s="19">
        <v>150</v>
      </c>
      <c r="F3" s="19">
        <v>175</v>
      </c>
      <c r="G3" s="19">
        <v>200</v>
      </c>
      <c r="H3">
        <f t="shared" ref="H3:H13" si="0">SUM(C3:G3)</f>
        <v>745</v>
      </c>
      <c r="I3">
        <f>H3*8</f>
        <v>5960</v>
      </c>
    </row>
    <row r="4" spans="1:9" ht="21" thickBot="1" x14ac:dyDescent="0.3">
      <c r="A4">
        <v>2</v>
      </c>
      <c r="B4" s="7" t="s">
        <v>8</v>
      </c>
      <c r="C4" s="8">
        <v>35</v>
      </c>
      <c r="D4" s="8">
        <v>70</v>
      </c>
      <c r="E4" s="8">
        <v>100</v>
      </c>
      <c r="F4" s="8">
        <v>150</v>
      </c>
      <c r="G4" s="8">
        <v>220</v>
      </c>
      <c r="H4">
        <f t="shared" si="0"/>
        <v>575</v>
      </c>
      <c r="I4">
        <f t="shared" ref="I4:I13" si="1">H4*8</f>
        <v>4600</v>
      </c>
    </row>
    <row r="5" spans="1:9" ht="21" thickBot="1" x14ac:dyDescent="0.4">
      <c r="A5">
        <v>3</v>
      </c>
      <c r="B5" s="7" t="s">
        <v>11</v>
      </c>
      <c r="C5" s="8">
        <v>40</v>
      </c>
      <c r="D5" s="12">
        <v>60</v>
      </c>
      <c r="E5" s="12">
        <v>90</v>
      </c>
      <c r="F5" s="12">
        <v>115</v>
      </c>
      <c r="G5" s="12">
        <v>165</v>
      </c>
      <c r="H5">
        <f t="shared" si="0"/>
        <v>470</v>
      </c>
      <c r="I5">
        <f t="shared" si="1"/>
        <v>3760</v>
      </c>
    </row>
    <row r="6" spans="1:9" ht="81.75" thickBot="1" x14ac:dyDescent="0.3">
      <c r="A6">
        <v>4</v>
      </c>
      <c r="B6" s="9" t="s">
        <v>13</v>
      </c>
      <c r="C6" s="10">
        <v>30</v>
      </c>
      <c r="D6" s="10">
        <v>50</v>
      </c>
      <c r="E6" s="10">
        <v>75</v>
      </c>
      <c r="F6" s="10">
        <v>100</v>
      </c>
      <c r="G6" s="10">
        <v>150</v>
      </c>
      <c r="H6">
        <f t="shared" si="0"/>
        <v>405</v>
      </c>
      <c r="I6">
        <f t="shared" si="1"/>
        <v>3240</v>
      </c>
    </row>
    <row r="7" spans="1:9" ht="21" thickBot="1" x14ac:dyDescent="0.3">
      <c r="A7">
        <v>5</v>
      </c>
      <c r="B7" s="7" t="s">
        <v>10</v>
      </c>
      <c r="C7" s="8">
        <v>30</v>
      </c>
      <c r="D7" s="8">
        <v>50</v>
      </c>
      <c r="E7" s="8">
        <v>80</v>
      </c>
      <c r="F7" s="8">
        <v>100</v>
      </c>
      <c r="G7" s="8">
        <v>120</v>
      </c>
      <c r="H7">
        <f t="shared" si="0"/>
        <v>380</v>
      </c>
      <c r="I7">
        <f t="shared" si="1"/>
        <v>3040</v>
      </c>
    </row>
    <row r="8" spans="1:9" ht="21" thickBot="1" x14ac:dyDescent="0.4">
      <c r="A8">
        <v>6</v>
      </c>
      <c r="B8" s="9" t="s">
        <v>15</v>
      </c>
      <c r="C8" s="10">
        <v>10</v>
      </c>
      <c r="D8" s="11">
        <v>15</v>
      </c>
      <c r="E8" s="11">
        <v>40</v>
      </c>
      <c r="F8" s="11">
        <v>100</v>
      </c>
      <c r="G8" s="11">
        <v>200</v>
      </c>
      <c r="H8">
        <f t="shared" si="0"/>
        <v>365</v>
      </c>
      <c r="I8">
        <f t="shared" si="1"/>
        <v>2920</v>
      </c>
    </row>
    <row r="9" spans="1:9" ht="61.5" thickBot="1" x14ac:dyDescent="0.4">
      <c r="A9">
        <v>7</v>
      </c>
      <c r="B9" s="7" t="s">
        <v>18</v>
      </c>
      <c r="C9" s="8" t="s">
        <v>19</v>
      </c>
      <c r="D9" s="12">
        <v>30</v>
      </c>
      <c r="E9" s="12">
        <v>50</v>
      </c>
      <c r="F9" s="12">
        <v>100</v>
      </c>
      <c r="G9" s="12">
        <v>150</v>
      </c>
      <c r="H9">
        <f t="shared" si="0"/>
        <v>330</v>
      </c>
      <c r="I9">
        <f t="shared" si="1"/>
        <v>2640</v>
      </c>
    </row>
    <row r="10" spans="1:9" ht="81.75" thickBot="1" x14ac:dyDescent="0.3">
      <c r="A10">
        <v>8</v>
      </c>
      <c r="B10" s="9" t="s">
        <v>24</v>
      </c>
      <c r="C10" s="10">
        <v>25</v>
      </c>
      <c r="D10" s="10">
        <v>30</v>
      </c>
      <c r="E10" s="10">
        <v>40</v>
      </c>
      <c r="F10" s="10">
        <v>50</v>
      </c>
      <c r="G10" s="10">
        <v>100</v>
      </c>
      <c r="H10">
        <f t="shared" si="0"/>
        <v>245</v>
      </c>
      <c r="I10">
        <f t="shared" si="1"/>
        <v>1960</v>
      </c>
    </row>
    <row r="11" spans="1:9" ht="61.5" thickBot="1" x14ac:dyDescent="0.4">
      <c r="A11">
        <v>9</v>
      </c>
      <c r="B11" s="7" t="s">
        <v>16</v>
      </c>
      <c r="C11" s="8">
        <v>20</v>
      </c>
      <c r="D11" s="12">
        <v>30</v>
      </c>
      <c r="E11" s="12">
        <v>40</v>
      </c>
      <c r="F11" s="12">
        <v>60</v>
      </c>
      <c r="G11" s="12">
        <v>70</v>
      </c>
      <c r="H11">
        <f t="shared" si="0"/>
        <v>220</v>
      </c>
      <c r="I11">
        <f t="shared" si="1"/>
        <v>1760</v>
      </c>
    </row>
    <row r="12" spans="1:9" ht="81.75" thickBot="1" x14ac:dyDescent="0.3">
      <c r="A12">
        <v>10</v>
      </c>
      <c r="B12" s="9" t="s">
        <v>17</v>
      </c>
      <c r="C12" s="10">
        <v>15</v>
      </c>
      <c r="D12" s="10">
        <v>25</v>
      </c>
      <c r="E12" s="10">
        <v>30</v>
      </c>
      <c r="F12" s="10">
        <v>40</v>
      </c>
      <c r="G12" s="10">
        <v>60</v>
      </c>
      <c r="H12">
        <f t="shared" si="0"/>
        <v>170</v>
      </c>
      <c r="I12">
        <f t="shared" si="1"/>
        <v>1360</v>
      </c>
    </row>
    <row r="13" spans="1:9" ht="81.75" thickBot="1" x14ac:dyDescent="0.4">
      <c r="A13">
        <v>11</v>
      </c>
      <c r="B13" s="7" t="s">
        <v>25</v>
      </c>
      <c r="C13" s="8">
        <v>15</v>
      </c>
      <c r="D13" s="8">
        <v>20</v>
      </c>
      <c r="E13" s="12">
        <v>25</v>
      </c>
      <c r="F13" s="12">
        <v>30</v>
      </c>
      <c r="G13" s="12">
        <v>50</v>
      </c>
      <c r="H13">
        <f t="shared" si="0"/>
        <v>140</v>
      </c>
      <c r="I13">
        <f t="shared" si="1"/>
        <v>1120</v>
      </c>
    </row>
    <row r="14" spans="1:9" ht="41.25" thickBot="1" x14ac:dyDescent="0.4">
      <c r="B14" s="20" t="s">
        <v>26</v>
      </c>
      <c r="C14" s="21">
        <v>320</v>
      </c>
      <c r="D14" s="12">
        <v>500</v>
      </c>
      <c r="E14" s="12">
        <v>720</v>
      </c>
      <c r="F14" s="12">
        <v>1020</v>
      </c>
      <c r="G14" s="12">
        <v>1485</v>
      </c>
      <c r="H14">
        <f>SUM(H3:H13)</f>
        <v>4045</v>
      </c>
      <c r="I14">
        <f>SUM(I3:I13)</f>
        <v>32360</v>
      </c>
    </row>
  </sheetData>
  <mergeCells count="1">
    <mergeCell ref="A1:A2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C2" sqref="C2"/>
    </sheetView>
  </sheetViews>
  <sheetFormatPr defaultRowHeight="15" x14ac:dyDescent="0.25"/>
  <cols>
    <col min="2" max="2" width="40" customWidth="1"/>
    <col min="3" max="3" width="38.85546875" bestFit="1" customWidth="1"/>
    <col min="4" max="4" width="28.5703125" customWidth="1"/>
  </cols>
  <sheetData>
    <row r="1" spans="1:4" ht="107.25" customHeight="1" thickBot="1" x14ac:dyDescent="0.35">
      <c r="A1" s="16" t="s">
        <v>0</v>
      </c>
      <c r="B1" s="17" t="s">
        <v>1</v>
      </c>
      <c r="C1" s="18" t="s">
        <v>22</v>
      </c>
      <c r="D1" s="14" t="s">
        <v>21</v>
      </c>
    </row>
    <row r="2" spans="1:4" ht="122.25" thickBot="1" x14ac:dyDescent="0.3">
      <c r="A2">
        <v>1</v>
      </c>
      <c r="B2" s="7" t="s">
        <v>9</v>
      </c>
    </row>
    <row r="3" spans="1:4" ht="21" thickBot="1" x14ac:dyDescent="0.3">
      <c r="A3">
        <v>2</v>
      </c>
      <c r="B3" s="9" t="s">
        <v>11</v>
      </c>
    </row>
    <row r="4" spans="1:4" ht="81.75" thickBot="1" x14ac:dyDescent="0.3">
      <c r="A4">
        <v>3</v>
      </c>
      <c r="B4" s="7" t="s">
        <v>17</v>
      </c>
    </row>
    <row r="5" spans="1:4" ht="21" thickBot="1" x14ac:dyDescent="0.3">
      <c r="A5">
        <v>4</v>
      </c>
      <c r="B5" s="6" t="s">
        <v>8</v>
      </c>
    </row>
    <row r="6" spans="1:4" ht="21" thickBot="1" x14ac:dyDescent="0.3">
      <c r="A6">
        <v>5</v>
      </c>
      <c r="B6" s="9" t="s">
        <v>15</v>
      </c>
    </row>
    <row r="7" spans="1:4" ht="81.75" thickBot="1" x14ac:dyDescent="0.3">
      <c r="A7">
        <v>6</v>
      </c>
      <c r="B7" s="7" t="s">
        <v>12</v>
      </c>
    </row>
    <row r="8" spans="1:4" ht="61.5" thickBot="1" x14ac:dyDescent="0.3">
      <c r="A8">
        <v>7</v>
      </c>
      <c r="B8" s="7" t="s">
        <v>18</v>
      </c>
    </row>
    <row r="9" spans="1:4" ht="21" thickBot="1" x14ac:dyDescent="0.3">
      <c r="A9">
        <v>8</v>
      </c>
      <c r="B9" s="7" t="s">
        <v>10</v>
      </c>
    </row>
    <row r="10" spans="1:4" ht="61.5" thickBot="1" x14ac:dyDescent="0.3">
      <c r="A10">
        <v>9</v>
      </c>
      <c r="B10" s="7" t="s">
        <v>16</v>
      </c>
    </row>
    <row r="11" spans="1:4" ht="21" thickBot="1" x14ac:dyDescent="0.3">
      <c r="A11">
        <v>10</v>
      </c>
      <c r="B11" s="7" t="s">
        <v>14</v>
      </c>
    </row>
    <row r="12" spans="1:4" ht="21" thickBot="1" x14ac:dyDescent="0.3">
      <c r="A12">
        <v>11</v>
      </c>
      <c r="B12" s="9" t="s">
        <v>13</v>
      </c>
    </row>
    <row r="13" spans="1:4" ht="20.25" x14ac:dyDescent="0.25">
      <c r="B13" s="1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B3" sqref="B3"/>
    </sheetView>
  </sheetViews>
  <sheetFormatPr defaultRowHeight="15" x14ac:dyDescent="0.25"/>
  <sheetData>
    <row r="1" spans="1:4" ht="99.75" thickBot="1" x14ac:dyDescent="0.3">
      <c r="A1" s="23" t="s">
        <v>0</v>
      </c>
      <c r="B1" s="24" t="s">
        <v>27</v>
      </c>
      <c r="C1" s="25" t="s">
        <v>28</v>
      </c>
      <c r="D1" s="26" t="s">
        <v>29</v>
      </c>
    </row>
    <row r="2" spans="1:4" ht="81.75" thickBot="1" x14ac:dyDescent="0.3">
      <c r="A2" s="27">
        <v>1</v>
      </c>
      <c r="B2" s="6" t="s">
        <v>30</v>
      </c>
      <c r="C2" s="27">
        <v>7500</v>
      </c>
      <c r="D2" s="27">
        <v>745</v>
      </c>
    </row>
    <row r="3" spans="1:4" ht="21" thickBot="1" x14ac:dyDescent="0.3">
      <c r="A3" s="28">
        <v>2</v>
      </c>
      <c r="B3" s="29" t="s">
        <v>8</v>
      </c>
      <c r="C3" s="28">
        <v>6000</v>
      </c>
      <c r="D3" s="28">
        <v>575</v>
      </c>
    </row>
    <row r="4" spans="1:4" ht="21" thickBot="1" x14ac:dyDescent="0.3">
      <c r="A4" s="30">
        <v>3</v>
      </c>
      <c r="B4" s="31" t="s">
        <v>11</v>
      </c>
      <c r="C4" s="30">
        <v>5000</v>
      </c>
      <c r="D4" s="30">
        <v>470</v>
      </c>
    </row>
    <row r="5" spans="1:4" ht="81.75" thickBot="1" x14ac:dyDescent="0.3">
      <c r="A5" s="28">
        <v>4</v>
      </c>
      <c r="B5" s="29" t="s">
        <v>13</v>
      </c>
      <c r="C5" s="28">
        <v>4100</v>
      </c>
      <c r="D5" s="28">
        <v>405</v>
      </c>
    </row>
    <row r="6" spans="1:4" ht="21" thickBot="1" x14ac:dyDescent="0.3">
      <c r="A6" s="30">
        <v>5</v>
      </c>
      <c r="B6" s="31" t="s">
        <v>10</v>
      </c>
      <c r="C6" s="30">
        <v>4000</v>
      </c>
      <c r="D6" s="30">
        <v>380</v>
      </c>
    </row>
    <row r="7" spans="1:4" ht="21" thickBot="1" x14ac:dyDescent="0.3">
      <c r="A7" s="28">
        <v>6</v>
      </c>
      <c r="B7" s="29" t="s">
        <v>15</v>
      </c>
      <c r="C7" s="28">
        <v>3750</v>
      </c>
      <c r="D7" s="28">
        <v>365</v>
      </c>
    </row>
    <row r="8" spans="1:4" ht="61.5" thickBot="1" x14ac:dyDescent="0.3">
      <c r="A8" s="30">
        <v>7</v>
      </c>
      <c r="B8" s="31" t="s">
        <v>18</v>
      </c>
      <c r="C8" s="30">
        <v>5000</v>
      </c>
      <c r="D8" s="30">
        <v>330</v>
      </c>
    </row>
    <row r="9" spans="1:4" ht="81.75" thickBot="1" x14ac:dyDescent="0.3">
      <c r="A9" s="28">
        <v>8</v>
      </c>
      <c r="B9" s="29" t="s">
        <v>24</v>
      </c>
      <c r="C9" s="28">
        <v>3000</v>
      </c>
      <c r="D9" s="28">
        <v>245</v>
      </c>
    </row>
    <row r="10" spans="1:4" ht="61.5" thickBot="1" x14ac:dyDescent="0.3">
      <c r="A10" s="30">
        <v>9</v>
      </c>
      <c r="B10" s="31" t="s">
        <v>16</v>
      </c>
      <c r="C10" s="30">
        <v>2500</v>
      </c>
      <c r="D10" s="30">
        <v>220</v>
      </c>
    </row>
    <row r="11" spans="1:4" ht="81.75" thickBot="1" x14ac:dyDescent="0.3">
      <c r="A11" s="28">
        <v>10</v>
      </c>
      <c r="B11" s="29" t="s">
        <v>17</v>
      </c>
      <c r="C11" s="28">
        <v>2000</v>
      </c>
      <c r="D11" s="28">
        <v>170</v>
      </c>
    </row>
    <row r="12" spans="1:4" ht="81.75" thickBot="1" x14ac:dyDescent="0.3">
      <c r="A12" s="32">
        <v>11</v>
      </c>
      <c r="B12" s="33" t="s">
        <v>25</v>
      </c>
      <c r="C12" s="32">
        <v>1500</v>
      </c>
      <c r="D12" s="32">
        <v>140</v>
      </c>
    </row>
    <row r="13" spans="1:4" ht="24" thickBot="1" x14ac:dyDescent="0.3">
      <c r="A13" s="34"/>
      <c r="B13" s="35" t="s">
        <v>26</v>
      </c>
      <c r="C13" s="28">
        <v>44350</v>
      </c>
      <c r="D13" s="34">
        <f>SUM(D2:D12)</f>
        <v>4045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A13" sqref="A13:E13"/>
    </sheetView>
  </sheetViews>
  <sheetFormatPr defaultRowHeight="15" x14ac:dyDescent="0.25"/>
  <sheetData>
    <row r="1" spans="1:5" ht="21" thickBot="1" x14ac:dyDescent="0.3">
      <c r="A1" s="5">
        <v>100</v>
      </c>
      <c r="B1" s="5">
        <v>120</v>
      </c>
      <c r="C1" s="5">
        <v>150</v>
      </c>
      <c r="D1" s="5">
        <v>175</v>
      </c>
      <c r="E1" s="5">
        <v>200</v>
      </c>
    </row>
    <row r="2" spans="1:5" ht="21" thickBot="1" x14ac:dyDescent="0.3">
      <c r="A2" s="36">
        <v>35</v>
      </c>
      <c r="B2" s="36">
        <v>70</v>
      </c>
      <c r="C2" s="36">
        <v>100</v>
      </c>
      <c r="D2" s="36">
        <v>150</v>
      </c>
      <c r="E2" s="36">
        <v>220</v>
      </c>
    </row>
    <row r="3" spans="1:5" ht="21" thickBot="1" x14ac:dyDescent="0.4">
      <c r="A3" s="36">
        <v>40</v>
      </c>
      <c r="B3" s="37">
        <v>60</v>
      </c>
      <c r="C3" s="37">
        <v>90</v>
      </c>
      <c r="D3" s="37">
        <v>115</v>
      </c>
      <c r="E3" s="37">
        <v>165</v>
      </c>
    </row>
    <row r="4" spans="1:5" ht="21" thickBot="1" x14ac:dyDescent="0.3">
      <c r="A4" s="38">
        <v>30</v>
      </c>
      <c r="B4" s="38">
        <v>50</v>
      </c>
      <c r="C4" s="38">
        <v>75</v>
      </c>
      <c r="D4" s="38">
        <v>100</v>
      </c>
      <c r="E4" s="38">
        <v>150</v>
      </c>
    </row>
    <row r="5" spans="1:5" ht="21" thickBot="1" x14ac:dyDescent="0.3">
      <c r="A5" s="36">
        <v>30</v>
      </c>
      <c r="B5" s="36">
        <v>50</v>
      </c>
      <c r="C5" s="36">
        <v>80</v>
      </c>
      <c r="D5" s="36">
        <v>100</v>
      </c>
      <c r="E5" s="36">
        <v>120</v>
      </c>
    </row>
    <row r="6" spans="1:5" ht="21" thickBot="1" x14ac:dyDescent="0.4">
      <c r="A6" s="38">
        <v>10</v>
      </c>
      <c r="B6" s="39">
        <v>15</v>
      </c>
      <c r="C6" s="39">
        <v>40</v>
      </c>
      <c r="D6" s="39">
        <v>100</v>
      </c>
      <c r="E6" s="39">
        <v>200</v>
      </c>
    </row>
    <row r="7" spans="1:5" ht="21" thickBot="1" x14ac:dyDescent="0.4">
      <c r="A7" s="36" t="s">
        <v>19</v>
      </c>
      <c r="B7" s="37">
        <v>30</v>
      </c>
      <c r="C7" s="37">
        <v>50</v>
      </c>
      <c r="D7" s="37">
        <v>100</v>
      </c>
      <c r="E7" s="37">
        <v>150</v>
      </c>
    </row>
    <row r="8" spans="1:5" ht="21" thickBot="1" x14ac:dyDescent="0.3">
      <c r="A8" s="38">
        <v>25</v>
      </c>
      <c r="B8" s="38">
        <v>30</v>
      </c>
      <c r="C8" s="38">
        <v>40</v>
      </c>
      <c r="D8" s="38">
        <v>50</v>
      </c>
      <c r="E8" s="38">
        <v>100</v>
      </c>
    </row>
    <row r="9" spans="1:5" ht="21" thickBot="1" x14ac:dyDescent="0.4">
      <c r="A9" s="36">
        <v>20</v>
      </c>
      <c r="B9" s="37">
        <v>30</v>
      </c>
      <c r="C9" s="37">
        <v>40</v>
      </c>
      <c r="D9" s="37">
        <v>60</v>
      </c>
      <c r="E9" s="37">
        <v>70</v>
      </c>
    </row>
    <row r="10" spans="1:5" ht="21" thickBot="1" x14ac:dyDescent="0.3">
      <c r="A10" s="38">
        <v>15</v>
      </c>
      <c r="B10" s="38">
        <v>25</v>
      </c>
      <c r="C10" s="38">
        <v>30</v>
      </c>
      <c r="D10" s="38">
        <v>40</v>
      </c>
      <c r="E10" s="38">
        <v>60</v>
      </c>
    </row>
    <row r="11" spans="1:5" ht="21" thickBot="1" x14ac:dyDescent="0.4">
      <c r="A11" s="36">
        <v>15</v>
      </c>
      <c r="B11" s="36">
        <v>20</v>
      </c>
      <c r="C11" s="37">
        <v>25</v>
      </c>
      <c r="D11" s="37">
        <v>30</v>
      </c>
      <c r="E11" s="37">
        <v>50</v>
      </c>
    </row>
    <row r="12" spans="1:5" ht="21" thickBot="1" x14ac:dyDescent="0.4">
      <c r="A12" s="40">
        <v>320</v>
      </c>
      <c r="B12" s="37">
        <v>500</v>
      </c>
      <c r="C12" s="37">
        <v>720</v>
      </c>
      <c r="D12" s="37">
        <v>1020</v>
      </c>
      <c r="E12" s="37">
        <v>1485</v>
      </c>
    </row>
    <row r="13" spans="1:5" x14ac:dyDescent="0.25">
      <c r="A13">
        <f>SUM(A1:A12)</f>
        <v>640</v>
      </c>
      <c r="B13">
        <f t="shared" ref="B13:E13" si="0">SUM(B1:B12)</f>
        <v>1000</v>
      </c>
      <c r="C13">
        <f t="shared" si="0"/>
        <v>1440</v>
      </c>
      <c r="D13">
        <f t="shared" si="0"/>
        <v>2040</v>
      </c>
      <c r="E13">
        <f t="shared" si="0"/>
        <v>2970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BSTC</dc:creator>
  <cp:lastModifiedBy>BSTC</cp:lastModifiedBy>
  <dcterms:created xsi:type="dcterms:W3CDTF">2024-10-24T11:26:53Z</dcterms:created>
  <dcterms:modified xsi:type="dcterms:W3CDTF">2024-10-25T11:10:13Z</dcterms:modified>
</cp:coreProperties>
</file>