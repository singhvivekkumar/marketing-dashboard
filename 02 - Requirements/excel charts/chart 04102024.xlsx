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9155" windowHeight="1183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calcChain.xml><?xml version="1.0" encoding="utf-8"?>
<calcChain xmlns="http://schemas.openxmlformats.org/spreadsheetml/2006/main">
  <c r="G4" i="1" l="1"/>
  <c r="G5" i="1"/>
  <c r="G6" i="1"/>
  <c r="G3" i="1"/>
  <c r="D19" i="5" l="1"/>
  <c r="C19" i="5"/>
  <c r="G9" i="4" l="1"/>
</calcChain>
</file>

<file path=xl/sharedStrings.xml><?xml version="1.0" encoding="utf-8"?>
<sst xmlns="http://schemas.openxmlformats.org/spreadsheetml/2006/main" count="66" uniqueCount="54">
  <si>
    <t>Sl. no</t>
  </si>
  <si>
    <t>Year</t>
  </si>
  <si>
    <t>Y.O.Y Growth</t>
  </si>
  <si>
    <t>2020-21</t>
  </si>
  <si>
    <t>2021-22</t>
  </si>
  <si>
    <t>2022-23</t>
  </si>
  <si>
    <t xml:space="preserve">2023-24 </t>
  </si>
  <si>
    <t>2024-25(Q2)</t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</si>
  <si>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2020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</si>
  <si>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2021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</si>
  <si>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2022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</si>
  <si>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2023</t>
    </r>
  </si>
  <si>
    <r>
      <t>1</t>
    </r>
    <r>
      <rPr>
        <vertAlign val="superscript"/>
        <sz val="14"/>
        <color rgb="FF000000"/>
        <rFont val="Yu Gothic UI Semibold"/>
        <family val="2"/>
      </rPr>
      <t>st</t>
    </r>
    <r>
      <rPr>
        <sz val="14"/>
        <color rgb="FF000000"/>
        <rFont val="Yu Gothic UI Semibold"/>
        <family val="2"/>
      </rPr>
      <t xml:space="preserve"> Apr 2024</t>
    </r>
  </si>
  <si>
    <t>Order Book Position (Direct Orders)</t>
  </si>
  <si>
    <t>Turn over (Direct+ IDST+ IUST)</t>
  </si>
  <si>
    <t>Orders Executed</t>
  </si>
  <si>
    <t>Sl no</t>
  </si>
  <si>
    <t>Def</t>
  </si>
  <si>
    <t>(Count)</t>
  </si>
  <si>
    <t>Non Def</t>
  </si>
  <si>
    <t>ST</t>
  </si>
  <si>
    <t>MT</t>
  </si>
  <si>
    <t>Total Value in Crores -Direct</t>
  </si>
  <si>
    <t>2019-20</t>
  </si>
  <si>
    <t>Total</t>
  </si>
  <si>
    <t>Sl. No.</t>
  </si>
  <si>
    <t>SW Domain</t>
  </si>
  <si>
    <t>No of Bids</t>
  </si>
  <si>
    <t>Value  in Rs Crores</t>
  </si>
  <si>
    <t xml:space="preserve">AI/ML </t>
  </si>
  <si>
    <t>App Development</t>
  </si>
  <si>
    <t>App Migration</t>
  </si>
  <si>
    <t>BFSI</t>
  </si>
  <si>
    <t>Cloud Services(MSP)</t>
  </si>
  <si>
    <t>Customer Care</t>
  </si>
  <si>
    <t>Cyber Security</t>
  </si>
  <si>
    <t>E-Governance</t>
  </si>
  <si>
    <t>ERP</t>
  </si>
  <si>
    <t>Health</t>
  </si>
  <si>
    <t>NMS</t>
  </si>
  <si>
    <t>GIS</t>
  </si>
  <si>
    <t>O&amp;M (App)</t>
  </si>
  <si>
    <t>O&amp;M (COTS)</t>
  </si>
  <si>
    <t>Power</t>
  </si>
  <si>
    <t>Video Analytics</t>
  </si>
  <si>
    <t>Procurement(COTS)</t>
  </si>
  <si>
    <t>sll.no</t>
  </si>
  <si>
    <t>year</t>
  </si>
  <si>
    <t>1st April
2020</t>
  </si>
  <si>
    <t>1st April
2021</t>
  </si>
  <si>
    <t>1st April
2022</t>
  </si>
  <si>
    <t>1st April
2023</t>
  </si>
  <si>
    <t>1st April
2024</t>
  </si>
  <si>
    <t>2024(Q2)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</si>
</sst>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Yu Gothic UI Semibold"/>
      <family val="2"/>
    </font>
    <font>
      <sz val="14"/>
      <color rgb="FF000000"/>
      <name val="Yu Gothic UI Semibold"/>
      <family val="2"/>
    </font>
    <font>
      <vertAlign val="superscript"/>
      <sz val="14"/>
      <color rgb="FF000000"/>
      <name val="Yu Gothic UI Semibold"/>
      <family val="2"/>
    </font>
    <font>
      <sz val="14"/>
      <color rgb="FFFF0000"/>
      <name val="Yu Gothic UI Semibold"/>
      <family val="2"/>
    </font>
    <font>
      <sz val="14"/>
      <color rgb="FF10253F"/>
      <name val="Yu Gothic UI Semibold"/>
      <family val="2"/>
    </font>
    <font>
      <sz val="18"/>
      <name val="Arial"/>
    </font>
    <font>
      <b/>
      <sz val="12"/>
      <color rgb="FFFFFFFF"/>
      <name val="Yu Gothic UI Semibold"/>
    </font>
    <font>
      <b/>
      <sz val="9"/>
      <color rgb="FFFFFFFF"/>
      <name val="Yu Gothic UI Semibold"/>
    </font>
    <font>
      <b/>
      <sz val="10.5"/>
      <color rgb="FFFFFFFF"/>
      <name val="Yu Gothic UI Semibold"/>
    </font>
    <font>
      <sz val="11"/>
      <color rgb="FF1F497D"/>
      <name val="Yu Gothic UI Semibold"/>
    </font>
    <font>
      <sz val="11"/>
      <color rgb="FF000000"/>
      <name val="Yu Gothic UI Semibold"/>
    </font>
    <font>
      <sz val="11"/>
      <color rgb="FF2C2C2C"/>
      <name val="Yu Gothic UI Semibold"/>
    </font>
    <font>
      <b/>
      <sz val="11"/>
      <color rgb="FF1F497D"/>
      <name val="Arial"/>
    </font>
    <font>
      <b/>
      <sz val="11"/>
      <color rgb="FF000000"/>
      <name val="Arial"/>
    </font>
    <font>
      <b/>
      <sz val="10"/>
      <color rgb="FFFFFFFF"/>
      <name val="Arial Black"/>
    </font>
    <font>
      <sz val="10"/>
      <color rgb="FF2C2C2C"/>
      <name val="Yu Gothic UI Semibold"/>
    </font>
    <font>
      <b/>
      <sz val="10"/>
      <color rgb="FF2C2C2C"/>
      <name val="Arial"/>
    </font>
  </fonts>
  <fills count="12">
    <fill>
      <patternFill patternType="none"/>
    </fill>
    <fill>
      <patternFill patternType="gray125"/>
    </fill>
    <fill>
      <patternFill patternType="solid">
        <fgColor rgb="FF376092"/>
        <bgColor indexed="64"/>
      </patternFill>
    </fill>
    <fill>
      <patternFill patternType="solid">
        <fgColor rgb="FFE9F1F5"/>
        <bgColor indexed="64"/>
      </patternFill>
    </fill>
    <fill>
      <patternFill patternType="solid">
        <fgColor rgb="FFE46C0A"/>
        <bgColor indexed="64"/>
      </patternFill>
    </fill>
    <fill>
      <patternFill patternType="solid">
        <fgColor rgb="FFFCDDCF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FDEFE9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 style="medium">
        <color rgb="FF984807"/>
      </left>
      <right style="medium">
        <color rgb="FF984807"/>
      </right>
      <top style="medium">
        <color rgb="FF984807"/>
      </top>
      <bottom/>
      <diagonal/>
    </border>
    <border>
      <left style="medium">
        <color rgb="FF984807"/>
      </left>
      <right style="medium">
        <color rgb="FF984807"/>
      </right>
      <top/>
      <bottom style="medium">
        <color rgb="FF984807"/>
      </bottom>
      <diagonal/>
    </border>
    <border>
      <left style="medium">
        <color rgb="FFE46C0A"/>
      </left>
      <right style="medium">
        <color rgb="FFE46C0A"/>
      </right>
      <top style="medium">
        <color rgb="FF984807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4BACC6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vertical="center" wrapText="1" readingOrder="1"/>
    </xf>
    <xf numFmtId="1" fontId="5" fillId="0" borderId="4" xfId="0" applyNumberFormat="1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8" fillId="4" borderId="6" xfId="0" applyFont="1" applyFill="1" applyBorder="1" applyAlignment="1">
      <alignment horizontal="center" vertical="center" wrapText="1" readingOrder="1"/>
    </xf>
    <xf numFmtId="0" fontId="7" fillId="4" borderId="5" xfId="0" applyFont="1" applyFill="1" applyBorder="1" applyAlignment="1">
      <alignment horizontal="center" wrapText="1" readingOrder="1"/>
    </xf>
    <xf numFmtId="0" fontId="8" fillId="4" borderId="6" xfId="0" applyFont="1" applyFill="1" applyBorder="1" applyAlignment="1">
      <alignment horizontal="center" wrapText="1" readingOrder="1"/>
    </xf>
    <xf numFmtId="0" fontId="10" fillId="5" borderId="7" xfId="0" applyFont="1" applyFill="1" applyBorder="1" applyAlignment="1">
      <alignment horizontal="center" vertical="center" wrapText="1" readingOrder="1"/>
    </xf>
    <xf numFmtId="0" fontId="10" fillId="5" borderId="7" xfId="0" applyFont="1" applyFill="1" applyBorder="1" applyAlignment="1">
      <alignment horizontal="left" vertical="center" wrapText="1" indent="1" readingOrder="1"/>
    </xf>
    <xf numFmtId="0" fontId="10" fillId="6" borderId="7" xfId="0" applyFont="1" applyFill="1" applyBorder="1" applyAlignment="1">
      <alignment horizontal="center" vertical="center" wrapText="1" readingOrder="1"/>
    </xf>
    <xf numFmtId="0" fontId="10" fillId="7" borderId="7" xfId="0" applyFont="1" applyFill="1" applyBorder="1" applyAlignment="1">
      <alignment horizontal="center" vertical="center" wrapText="1" readingOrder="1"/>
    </xf>
    <xf numFmtId="0" fontId="11" fillId="8" borderId="7" xfId="0" applyFont="1" applyFill="1" applyBorder="1" applyAlignment="1">
      <alignment horizontal="center" vertical="center" wrapText="1" readingOrder="1"/>
    </xf>
    <xf numFmtId="0" fontId="11" fillId="9" borderId="7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left" vertical="center" wrapText="1" indent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indent="1" readingOrder="1"/>
    </xf>
    <xf numFmtId="0" fontId="10" fillId="6" borderId="8" xfId="0" applyFont="1" applyFill="1" applyBorder="1" applyAlignment="1">
      <alignment horizontal="center" vertical="center" wrapText="1" readingOrder="1"/>
    </xf>
    <xf numFmtId="0" fontId="10" fillId="7" borderId="8" xfId="0" applyFont="1" applyFill="1" applyBorder="1" applyAlignment="1">
      <alignment horizontal="center" vertical="center" wrapText="1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1" fillId="9" borderId="8" xfId="0" applyFont="1" applyFill="1" applyBorder="1" applyAlignment="1">
      <alignment horizontal="center" vertical="center" wrapText="1" readingOrder="1"/>
    </xf>
    <xf numFmtId="0" fontId="12" fillId="10" borderId="8" xfId="0" applyFont="1" applyFill="1" applyBorder="1" applyAlignment="1">
      <alignment horizontal="center" vertical="center" wrapText="1" readingOrder="1"/>
    </xf>
    <xf numFmtId="0" fontId="10" fillId="5" borderId="8" xfId="0" applyFont="1" applyFill="1" applyBorder="1" applyAlignment="1">
      <alignment horizontal="center" vertical="center" wrapText="1" readingOrder="1"/>
    </xf>
    <xf numFmtId="0" fontId="10" fillId="5" borderId="8" xfId="0" applyFont="1" applyFill="1" applyBorder="1" applyAlignment="1">
      <alignment horizontal="left" vertical="center" wrapText="1" inden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1" fillId="6" borderId="8" xfId="0" applyFont="1" applyFill="1" applyBorder="1" applyAlignment="1">
      <alignment horizontal="center" vertical="center" wrapText="1" readingOrder="1"/>
    </xf>
    <xf numFmtId="0" fontId="11" fillId="7" borderId="8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left" vertical="center" wrapText="1" indent="1" readingOrder="1"/>
    </xf>
    <xf numFmtId="0" fontId="14" fillId="6" borderId="8" xfId="0" applyFont="1" applyFill="1" applyBorder="1" applyAlignment="1">
      <alignment horizontal="center" vertical="center" wrapText="1" readingOrder="1"/>
    </xf>
    <xf numFmtId="0" fontId="14" fillId="7" borderId="8" xfId="0" applyFont="1" applyFill="1" applyBorder="1" applyAlignment="1">
      <alignment horizontal="center" vertical="center" wrapText="1" readingOrder="1"/>
    </xf>
    <xf numFmtId="0" fontId="14" fillId="8" borderId="8" xfId="0" applyFont="1" applyFill="1" applyBorder="1" applyAlignment="1">
      <alignment horizontal="center" vertical="center" wrapText="1" readingOrder="1"/>
    </xf>
    <xf numFmtId="0" fontId="14" fillId="9" borderId="8" xfId="0" applyFont="1" applyFill="1" applyBorder="1" applyAlignment="1">
      <alignment horizontal="center" vertical="center" wrapText="1" readingOrder="1"/>
    </xf>
    <xf numFmtId="0" fontId="15" fillId="2" borderId="9" xfId="0" applyFont="1" applyFill="1" applyBorder="1" applyAlignment="1">
      <alignment horizontal="center" vertical="center" wrapText="1" readingOrder="1"/>
    </xf>
    <xf numFmtId="0" fontId="16" fillId="3" borderId="2" xfId="0" applyFont="1" applyFill="1" applyBorder="1" applyAlignment="1">
      <alignment horizontal="center" vertical="center" wrapText="1" readingOrder="1"/>
    </xf>
    <xf numFmtId="0" fontId="16" fillId="3" borderId="2" xfId="0" applyFont="1" applyFill="1" applyBorder="1" applyAlignment="1">
      <alignment horizontal="left" vertical="center" wrapText="1" readingOrder="1"/>
    </xf>
    <xf numFmtId="0" fontId="16" fillId="3" borderId="2" xfId="0" applyFont="1" applyFill="1" applyBorder="1" applyAlignment="1">
      <alignment horizontal="right" vertical="center" wrapText="1" readingOrder="1"/>
    </xf>
    <xf numFmtId="0" fontId="16" fillId="11" borderId="3" xfId="0" applyFont="1" applyFill="1" applyBorder="1" applyAlignment="1">
      <alignment horizontal="center" vertical="center" wrapText="1" readingOrder="1"/>
    </xf>
    <xf numFmtId="0" fontId="16" fillId="11" borderId="3" xfId="0" applyFont="1" applyFill="1" applyBorder="1" applyAlignment="1">
      <alignment horizontal="left" vertical="center" wrapText="1" readingOrder="1"/>
    </xf>
    <xf numFmtId="0" fontId="16" fillId="11" borderId="3" xfId="0" applyFont="1" applyFill="1" applyBorder="1" applyAlignment="1">
      <alignment horizontal="right" vertical="center" wrapText="1" readingOrder="1"/>
    </xf>
    <xf numFmtId="0" fontId="16" fillId="3" borderId="3" xfId="0" applyFont="1" applyFill="1" applyBorder="1" applyAlignment="1">
      <alignment horizontal="center" vertical="center" wrapText="1" readingOrder="1"/>
    </xf>
    <xf numFmtId="0" fontId="16" fillId="3" borderId="3" xfId="0" applyFont="1" applyFill="1" applyBorder="1" applyAlignment="1">
      <alignment horizontal="left" vertical="center" wrapText="1" readingOrder="1"/>
    </xf>
    <xf numFmtId="0" fontId="16" fillId="3" borderId="3" xfId="0" applyFont="1" applyFill="1" applyBorder="1" applyAlignment="1">
      <alignment horizontal="right" vertical="center" wrapText="1" readingOrder="1"/>
    </xf>
    <xf numFmtId="3" fontId="16" fillId="3" borderId="3" xfId="0" applyNumberFormat="1" applyFont="1" applyFill="1" applyBorder="1" applyAlignment="1">
      <alignment horizontal="right" vertical="center" wrapText="1" readingOrder="1"/>
    </xf>
    <xf numFmtId="0" fontId="16" fillId="11" borderId="1" xfId="0" applyFont="1" applyFill="1" applyBorder="1" applyAlignment="1">
      <alignment horizontal="left" vertical="center" wrapText="1" readingOrder="1"/>
    </xf>
    <xf numFmtId="0" fontId="17" fillId="11" borderId="3" xfId="0" applyFont="1" applyFill="1" applyBorder="1" applyAlignment="1">
      <alignment horizontal="left" vertical="center" wrapText="1" readingOrder="1"/>
    </xf>
    <xf numFmtId="0" fontId="17" fillId="11" borderId="3" xfId="0" applyFont="1" applyFill="1" applyBorder="1" applyAlignment="1">
      <alignment horizontal="right" vertical="center" wrapText="1" readingOrder="1"/>
    </xf>
    <xf numFmtId="3" fontId="17" fillId="11" borderId="3" xfId="0" applyNumberFormat="1" applyFont="1" applyFill="1" applyBorder="1" applyAlignment="1">
      <alignment horizontal="right" vertical="center" wrapText="1" readingOrder="1"/>
    </xf>
    <xf numFmtId="0" fontId="16" fillId="11" borderId="1" xfId="0" applyFont="1" applyFill="1" applyBorder="1" applyAlignment="1">
      <alignment vertical="center" wrapText="1" readingOrder="1"/>
    </xf>
    <xf numFmtId="0" fontId="0" fillId="0" borderId="0" xfId="0" applyAlignment="1">
      <alignment wrapText="1"/>
    </xf>
    <xf numFmtId="0" fontId="7" fillId="4" borderId="5" xfId="0" applyFont="1" applyFill="1" applyBorder="1" applyAlignment="1">
      <alignment horizontal="center" vertical="center" wrapText="1" readingOrder="1"/>
    </xf>
    <xf numFmtId="0" fontId="7" fillId="4" borderId="6" xfId="0" applyFont="1" applyFill="1" applyBorder="1" applyAlignment="1">
      <alignment horizontal="center" vertical="center" wrapText="1" readingOrder="1"/>
    </xf>
    <xf numFmtId="0" fontId="9" fillId="4" borderId="5" xfId="0" applyFont="1" applyFill="1" applyBorder="1" applyAlignment="1">
      <alignment horizontal="center" wrapText="1" readingOrder="1"/>
    </xf>
    <xf numFmtId="0" fontId="9" fillId="4" borderId="6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Sheet1!$B$2:$B$6</c:f>
              <c:strCache>
                <c:ptCount val="5"/>
                <c:pt idx="0">
                  <c:v>1st Apr 2020</c:v>
                </c:pt>
                <c:pt idx="1">
                  <c:v>1st Apr 2021</c:v>
                </c:pt>
                <c:pt idx="2">
                  <c:v>1st Apr 2022</c:v>
                </c:pt>
                <c:pt idx="3">
                  <c:v>1st Apr 2023</c:v>
                </c:pt>
                <c:pt idx="4">
                  <c:v>1st Apr 2024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Orders Executed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Sheet1!$D$2:$D$6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2024-25(Q2)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10</c:v>
                </c:pt>
                <c:pt idx="1">
                  <c:v>28</c:v>
                </c:pt>
                <c:pt idx="2">
                  <c:v>23</c:v>
                </c:pt>
                <c:pt idx="3">
                  <c:v>43</c:v>
                </c:pt>
                <c:pt idx="4">
                  <c:v>28.38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180416"/>
        <c:axId val="237181952"/>
      </c:barChart>
      <c:lineChart>
        <c:grouping val="standard"/>
        <c:varyColors val="0"/>
        <c:ser>
          <c:idx val="2"/>
          <c:order val="1"/>
          <c:tx>
            <c:strRef>
              <c:f>Sheet1!$G$1</c:f>
              <c:strCache>
                <c:ptCount val="1"/>
                <c:pt idx="0">
                  <c:v>Y.O.Y Growth</c:v>
                </c:pt>
              </c:strCache>
            </c:strRef>
          </c:tx>
          <c:spPr>
            <a:ln w="19050">
              <a:solidFill>
                <a:srgbClr val="00B050"/>
              </a:solidFill>
              <a:headEnd type="oval" w="med" len="med"/>
              <a:tailEnd type="triangle" w="med" len="med"/>
            </a:ln>
          </c:spPr>
          <c:marker>
            <c:symbol val="none"/>
          </c:marker>
          <c:dPt>
            <c:idx val="4"/>
            <c:bubble3D val="0"/>
            <c:spPr>
              <a:ln w="19050">
                <a:noFill/>
                <a:headEnd type="oval" w="med" len="med"/>
                <a:tailEnd type="triangle" w="med" len="med"/>
              </a:ln>
            </c:spPr>
          </c:dPt>
          <c:dLbls>
            <c:dLbl>
              <c:idx val="0"/>
              <c:delete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180%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-18%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3.4159540945633941E-2"/>
                  <c:y val="-9.08393285371702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87%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delete val="1"/>
            </c:dLbl>
            <c:numFmt formatCode="General" sourceLinked="0"/>
            <c:spPr>
              <a:ln>
                <a:solidFill>
                  <a:srgbClr val="00B050"/>
                </a:solidFill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0066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Sheet1!$D$2:$D$6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2024-25(Q2)</c:v>
                </c:pt>
              </c:strCache>
            </c:strRef>
          </c:cat>
          <c:val>
            <c:numRef>
              <c:f>Sheet1!$G$2:$G$6</c:f>
              <c:numCache>
                <c:formatCode>0</c:formatCode>
                <c:ptCount val="5"/>
                <c:pt idx="0" formatCode="General">
                  <c:v>0</c:v>
                </c:pt>
                <c:pt idx="1">
                  <c:v>180</c:v>
                </c:pt>
                <c:pt idx="2">
                  <c:v>-17.857142857142858</c:v>
                </c:pt>
                <c:pt idx="3">
                  <c:v>86.956521739130437</c:v>
                </c:pt>
                <c:pt idx="4">
                  <c:v>-34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80416"/>
        <c:axId val="237181952"/>
      </c:lineChart>
      <c:catAx>
        <c:axId val="2371804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37181952"/>
        <c:crosses val="autoZero"/>
        <c:auto val="1"/>
        <c:lblAlgn val="ctr"/>
        <c:lblOffset val="100"/>
        <c:noMultiLvlLbl val="0"/>
      </c:catAx>
      <c:valAx>
        <c:axId val="237181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78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3718041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Order Book Position (Direct Orders)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spPr>
              <a:ln w="19050">
                <a:solidFill>
                  <a:srgbClr val="00B050"/>
                </a:solidFill>
              </a:ln>
            </c:spPr>
            <c:trendlineType val="exp"/>
            <c:dispRSqr val="0"/>
            <c:dispEq val="0"/>
          </c:trendline>
          <c:cat>
            <c:strRef>
              <c:f>Sheet1!$B$2:$B$6</c:f>
              <c:strCache>
                <c:ptCount val="5"/>
                <c:pt idx="0">
                  <c:v>1st Apr 2020</c:v>
                </c:pt>
                <c:pt idx="1">
                  <c:v>1st Apr 2021</c:v>
                </c:pt>
                <c:pt idx="2">
                  <c:v>1st Apr 2022</c:v>
                </c:pt>
                <c:pt idx="3">
                  <c:v>1st Apr 2023</c:v>
                </c:pt>
                <c:pt idx="4">
                  <c:v>1st Apr 2024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215744"/>
        <c:axId val="237217280"/>
      </c:barChart>
      <c:catAx>
        <c:axId val="2372157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vert="horz"/>
          <a:lstStyle/>
          <a:p>
            <a:pPr>
              <a:defRPr sz="1000" b="1"/>
            </a:pPr>
            <a:endParaRPr lang="en-US"/>
          </a:p>
        </c:txPr>
        <c:crossAx val="237217280"/>
        <c:crosses val="autoZero"/>
        <c:auto val="1"/>
        <c:lblAlgn val="ctr"/>
        <c:lblOffset val="100"/>
        <c:noMultiLvlLbl val="0"/>
      </c:catAx>
      <c:valAx>
        <c:axId val="2372172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79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3721574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Sheet1!$M$32</c:f>
              <c:strCache>
                <c:ptCount val="1"/>
                <c:pt idx="0">
                  <c:v>Order Book Position (Direct Orders)</c:v>
                </c:pt>
              </c:strCache>
            </c:strRef>
          </c:tx>
          <c:invertIfNegative val="0"/>
          <c:cat>
            <c:strRef>
              <c:f>Sheet1!$L$33:$L$38</c:f>
              <c:strCache>
                <c:ptCount val="6"/>
                <c:pt idx="0">
                  <c:v>1st April
2020</c:v>
                </c:pt>
                <c:pt idx="1">
                  <c:v>1st April
2021</c:v>
                </c:pt>
                <c:pt idx="2">
                  <c:v>1st April
2022</c:v>
                </c:pt>
                <c:pt idx="3">
                  <c:v>1st April
2023</c:v>
                </c:pt>
                <c:pt idx="4">
                  <c:v>1st April
2024</c:v>
                </c:pt>
                <c:pt idx="5">
                  <c:v>2024(Q2)</c:v>
                </c:pt>
              </c:strCache>
            </c:strRef>
          </c:cat>
          <c:val>
            <c:numRef>
              <c:f>Sheet1!$M$33:$M$38</c:f>
              <c:numCache>
                <c:formatCode>General</c:formatCode>
                <c:ptCount val="6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  <c:pt idx="5">
                  <c:v>28.38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118016"/>
        <c:axId val="260119552"/>
      </c:barChart>
      <c:catAx>
        <c:axId val="260118016"/>
        <c:scaling>
          <c:orientation val="minMax"/>
        </c:scaling>
        <c:delete val="0"/>
        <c:axPos val="b"/>
        <c:majorTickMark val="out"/>
        <c:minorTickMark val="none"/>
        <c:tickLblPos val="nextTo"/>
        <c:crossAx val="260119552"/>
        <c:crosses val="autoZero"/>
        <c:auto val="1"/>
        <c:lblAlgn val="ctr"/>
        <c:lblOffset val="100"/>
        <c:noMultiLvlLbl val="0"/>
      </c:catAx>
      <c:valAx>
        <c:axId val="26011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11801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Sheet1!$M$32</c:f>
              <c:strCache>
                <c:ptCount val="1"/>
                <c:pt idx="0">
                  <c:v>Order Book Position (Direct Orders)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Sheet1!$L$33:$L$38</c:f>
              <c:strCache>
                <c:ptCount val="6"/>
                <c:pt idx="0">
                  <c:v>1st April
2020</c:v>
                </c:pt>
                <c:pt idx="1">
                  <c:v>1st April
2021</c:v>
                </c:pt>
                <c:pt idx="2">
                  <c:v>1st April
2022</c:v>
                </c:pt>
                <c:pt idx="3">
                  <c:v>1st April
2023</c:v>
                </c:pt>
                <c:pt idx="4">
                  <c:v>1st April
2024</c:v>
                </c:pt>
                <c:pt idx="5">
                  <c:v>2024(Q2)</c:v>
                </c:pt>
              </c:strCache>
            </c:strRef>
          </c:cat>
          <c:val>
            <c:numRef>
              <c:f>Sheet1!$M$33:$M$38</c:f>
              <c:numCache>
                <c:formatCode>General</c:formatCode>
                <c:ptCount val="6"/>
                <c:pt idx="0">
                  <c:v>15</c:v>
                </c:pt>
                <c:pt idx="1">
                  <c:v>40</c:v>
                </c:pt>
                <c:pt idx="2">
                  <c:v>28</c:v>
                </c:pt>
                <c:pt idx="3">
                  <c:v>17</c:v>
                </c:pt>
                <c:pt idx="4">
                  <c:v>59</c:v>
                </c:pt>
                <c:pt idx="5">
                  <c:v>28.38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160896"/>
        <c:axId val="260183168"/>
      </c:barChart>
      <c:catAx>
        <c:axId val="260160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60183168"/>
        <c:crosses val="autoZero"/>
        <c:auto val="1"/>
        <c:lblAlgn val="ctr"/>
        <c:lblOffset val="100"/>
        <c:noMultiLvlLbl val="0"/>
      </c:catAx>
      <c:valAx>
        <c:axId val="26018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16089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No of Bids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Sheet5!$B$2:$B$18</c:f>
              <c:strCache>
                <c:ptCount val="17"/>
                <c:pt idx="0">
                  <c:v>Customer Care</c:v>
                </c:pt>
                <c:pt idx="1">
                  <c:v>Health</c:v>
                </c:pt>
                <c:pt idx="2">
                  <c:v>GIS</c:v>
                </c:pt>
                <c:pt idx="3">
                  <c:v>Power</c:v>
                </c:pt>
                <c:pt idx="4">
                  <c:v>Video Analytics</c:v>
                </c:pt>
                <c:pt idx="5">
                  <c:v>O&amp;M (COTS)</c:v>
                </c:pt>
                <c:pt idx="6">
                  <c:v>NMS</c:v>
                </c:pt>
                <c:pt idx="7">
                  <c:v>O&amp;M (App)</c:v>
                </c:pt>
                <c:pt idx="8">
                  <c:v>Cyber Security</c:v>
                </c:pt>
                <c:pt idx="9">
                  <c:v>BFSI</c:v>
                </c:pt>
                <c:pt idx="10">
                  <c:v>AI/ML </c:v>
                </c:pt>
                <c:pt idx="11">
                  <c:v>E-Governance</c:v>
                </c:pt>
                <c:pt idx="12">
                  <c:v>App Migration</c:v>
                </c:pt>
                <c:pt idx="13">
                  <c:v>Cloud Services(MSP)</c:v>
                </c:pt>
                <c:pt idx="14">
                  <c:v>ERP</c:v>
                </c:pt>
                <c:pt idx="15">
                  <c:v>Procurement(COTS)</c:v>
                </c:pt>
                <c:pt idx="16">
                  <c:v>App Development</c:v>
                </c:pt>
              </c:strCache>
            </c:strRef>
          </c:cat>
          <c:val>
            <c:numRef>
              <c:f>Sheet5!$C$2:$C$18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10</c:v>
                </c:pt>
                <c:pt idx="13">
                  <c:v>15</c:v>
                </c:pt>
                <c:pt idx="14">
                  <c:v>21</c:v>
                </c:pt>
                <c:pt idx="15">
                  <c:v>25</c:v>
                </c:pt>
                <c:pt idx="16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444160"/>
        <c:axId val="260445696"/>
      </c:barChart>
      <c:lineChart>
        <c:grouping val="standard"/>
        <c:varyColors val="0"/>
        <c:ser>
          <c:idx val="1"/>
          <c:order val="1"/>
          <c:tx>
            <c:strRef>
              <c:f>Sheet5!$D$1</c:f>
              <c:strCache>
                <c:ptCount val="1"/>
                <c:pt idx="0">
                  <c:v>Value  in Rs Crores</c:v>
                </c:pt>
              </c:strCache>
            </c:strRef>
          </c:tx>
          <c:marker>
            <c:symbol val="none"/>
          </c:marker>
          <c:dLbls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Sheet5!$B$2:$B$18</c:f>
              <c:strCache>
                <c:ptCount val="17"/>
                <c:pt idx="0">
                  <c:v>Customer Care</c:v>
                </c:pt>
                <c:pt idx="1">
                  <c:v>Health</c:v>
                </c:pt>
                <c:pt idx="2">
                  <c:v>GIS</c:v>
                </c:pt>
                <c:pt idx="3">
                  <c:v>Power</c:v>
                </c:pt>
                <c:pt idx="4">
                  <c:v>Video Analytics</c:v>
                </c:pt>
                <c:pt idx="5">
                  <c:v>O&amp;M (COTS)</c:v>
                </c:pt>
                <c:pt idx="6">
                  <c:v>NMS</c:v>
                </c:pt>
                <c:pt idx="7">
                  <c:v>O&amp;M (App)</c:v>
                </c:pt>
                <c:pt idx="8">
                  <c:v>Cyber Security</c:v>
                </c:pt>
                <c:pt idx="9">
                  <c:v>BFSI</c:v>
                </c:pt>
                <c:pt idx="10">
                  <c:v>AI/ML </c:v>
                </c:pt>
                <c:pt idx="11">
                  <c:v>E-Governance</c:v>
                </c:pt>
                <c:pt idx="12">
                  <c:v>App Migration</c:v>
                </c:pt>
                <c:pt idx="13">
                  <c:v>Cloud Services(MSP)</c:v>
                </c:pt>
                <c:pt idx="14">
                  <c:v>ERP</c:v>
                </c:pt>
                <c:pt idx="15">
                  <c:v>Procurement(COTS)</c:v>
                </c:pt>
                <c:pt idx="16">
                  <c:v>App Development</c:v>
                </c:pt>
              </c:strCache>
            </c:strRef>
          </c:cat>
          <c:val>
            <c:numRef>
              <c:f>Sheet5!$D$2:$D$18</c:f>
              <c:numCache>
                <c:formatCode>General</c:formatCode>
                <c:ptCount val="17"/>
                <c:pt idx="0">
                  <c:v>22</c:v>
                </c:pt>
                <c:pt idx="1">
                  <c:v>35</c:v>
                </c:pt>
                <c:pt idx="2">
                  <c:v>102</c:v>
                </c:pt>
                <c:pt idx="3">
                  <c:v>68</c:v>
                </c:pt>
                <c:pt idx="4">
                  <c:v>49</c:v>
                </c:pt>
                <c:pt idx="5">
                  <c:v>56</c:v>
                </c:pt>
                <c:pt idx="6">
                  <c:v>84</c:v>
                </c:pt>
                <c:pt idx="7">
                  <c:v>112</c:v>
                </c:pt>
                <c:pt idx="8">
                  <c:v>261</c:v>
                </c:pt>
                <c:pt idx="9">
                  <c:v>179</c:v>
                </c:pt>
                <c:pt idx="10">
                  <c:v>143</c:v>
                </c:pt>
                <c:pt idx="11">
                  <c:v>619</c:v>
                </c:pt>
                <c:pt idx="12">
                  <c:v>15</c:v>
                </c:pt>
                <c:pt idx="13" formatCode="#,##0">
                  <c:v>1241</c:v>
                </c:pt>
                <c:pt idx="14">
                  <c:v>775</c:v>
                </c:pt>
                <c:pt idx="15">
                  <c:v>590</c:v>
                </c:pt>
                <c:pt idx="16">
                  <c:v>793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485888"/>
        <c:axId val="260447232"/>
      </c:lineChart>
      <c:catAx>
        <c:axId val="260444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60445696"/>
        <c:crosses val="autoZero"/>
        <c:auto val="1"/>
        <c:lblAlgn val="ctr"/>
        <c:lblOffset val="100"/>
        <c:noMultiLvlLbl val="0"/>
      </c:catAx>
      <c:valAx>
        <c:axId val="26044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444160"/>
        <c:crosses val="autoZero"/>
        <c:crossBetween val="between"/>
      </c:valAx>
      <c:valAx>
        <c:axId val="260447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60485888"/>
        <c:crosses val="max"/>
        <c:crossBetween val="between"/>
      </c:valAx>
      <c:catAx>
        <c:axId val="260485888"/>
        <c:scaling>
          <c:orientation val="minMax"/>
        </c:scaling>
        <c:delete val="1"/>
        <c:axPos val="b"/>
        <c:majorTickMark val="out"/>
        <c:minorTickMark val="none"/>
        <c:tickLblPos val="nextTo"/>
        <c:crossAx val="260447232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238125</xdr:colOff>
      <xdr:row>0</xdr:row>
      <xdr:rowOff>1557337</xdr:rowOff>
    </xdr:from>
    <xdr:to>
      <xdr:col>27</xdr:col>
      <xdr:colOff>542925</xdr:colOff>
      <xdr:row>5</xdr:row>
      <xdr:rowOff>14287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371475</xdr:colOff>
      <xdr:row>0</xdr:row>
      <xdr:rowOff>781049</xdr:rowOff>
    </xdr:from>
    <xdr:to>
      <xdr:col>19</xdr:col>
      <xdr:colOff>314325</xdr:colOff>
      <xdr:row>5</xdr:row>
      <xdr:rowOff>466724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28</xdr:row>
      <xdr:rowOff>52387</xdr:rowOff>
    </xdr:from>
    <xdr:to>
      <xdr:col>32</xdr:col>
      <xdr:colOff>304800</xdr:colOff>
      <xdr:row>39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36</xdr:row>
      <xdr:rowOff>247650</xdr:rowOff>
    </xdr:from>
    <xdr:to>
      <xdr:col>23</xdr:col>
      <xdr:colOff>495300</xdr:colOff>
      <xdr:row>49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20</xdr:row>
      <xdr:rowOff>133350</xdr:rowOff>
    </xdr:from>
    <xdr:to>
      <xdr:col>5</xdr:col>
      <xdr:colOff>1238250</xdr:colOff>
      <xdr:row>33</xdr:row>
      <xdr:rowOff>209550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</xdr:colOff>
      <xdr:row>1</xdr:row>
      <xdr:rowOff>352425</xdr:rowOff>
    </xdr:from>
    <xdr:to>
      <xdr:col>26</xdr:col>
      <xdr:colOff>447674</xdr:colOff>
      <xdr:row>15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G39" sqref="G39"/>
    </sheetView>
  </sheetViews>
  <sheetFormatPr defaultRowHeight="15" x14ac:dyDescent="0.25"/>
  <cols>
    <col min="2" max="2" width="13.42578125" bestFit="1" customWidth="1"/>
    <col min="6" max="6" width="21.42578125" bestFit="1" customWidth="1"/>
    <col min="7" max="7" width="9.42578125" bestFit="1" customWidth="1"/>
    <col min="8" max="8" width="6.7109375" bestFit="1" customWidth="1"/>
  </cols>
  <sheetData>
    <row r="1" spans="1:7" ht="162.75" thickBot="1" x14ac:dyDescent="0.3">
      <c r="A1" s="12" t="s">
        <v>0</v>
      </c>
      <c r="B1" s="12" t="s">
        <v>1</v>
      </c>
      <c r="C1" s="1" t="s">
        <v>13</v>
      </c>
      <c r="D1" s="12" t="s">
        <v>1</v>
      </c>
      <c r="E1" s="1" t="s">
        <v>15</v>
      </c>
      <c r="F1" s="1" t="s">
        <v>14</v>
      </c>
      <c r="G1" s="12" t="s">
        <v>2</v>
      </c>
    </row>
    <row r="2" spans="1:7" ht="44.25" thickTop="1" thickBot="1" x14ac:dyDescent="0.3">
      <c r="A2" s="2">
        <v>1</v>
      </c>
      <c r="B2" s="2" t="s">
        <v>8</v>
      </c>
      <c r="C2" s="3">
        <v>15</v>
      </c>
      <c r="D2" s="2" t="s">
        <v>3</v>
      </c>
      <c r="E2" s="4">
        <v>10</v>
      </c>
      <c r="F2" s="4">
        <v>44</v>
      </c>
      <c r="G2">
        <v>0</v>
      </c>
    </row>
    <row r="3" spans="1:7" ht="43.5" thickBot="1" x14ac:dyDescent="0.3">
      <c r="A3" s="5">
        <v>2</v>
      </c>
      <c r="B3" s="5" t="s">
        <v>9</v>
      </c>
      <c r="C3" s="6">
        <v>40</v>
      </c>
      <c r="D3" s="5" t="s">
        <v>4</v>
      </c>
      <c r="E3" s="6">
        <v>28</v>
      </c>
      <c r="F3" s="6">
        <v>71</v>
      </c>
      <c r="G3" s="13">
        <f>(E3-E2)/E2*100</f>
        <v>180</v>
      </c>
    </row>
    <row r="4" spans="1:7" ht="43.5" thickBot="1" x14ac:dyDescent="0.3">
      <c r="A4" s="7">
        <v>3</v>
      </c>
      <c r="B4" s="7" t="s">
        <v>10</v>
      </c>
      <c r="C4" s="8">
        <v>28</v>
      </c>
      <c r="D4" s="7" t="s">
        <v>5</v>
      </c>
      <c r="E4" s="8">
        <v>23</v>
      </c>
      <c r="F4" s="8">
        <v>105</v>
      </c>
      <c r="G4" s="13">
        <f t="shared" ref="G4:G6" si="0">(E4-E3)/E3*100</f>
        <v>-17.857142857142858</v>
      </c>
    </row>
    <row r="5" spans="1:7" ht="43.5" thickBot="1" x14ac:dyDescent="0.3">
      <c r="A5" s="5">
        <v>4</v>
      </c>
      <c r="B5" s="5" t="s">
        <v>11</v>
      </c>
      <c r="C5" s="6">
        <v>17</v>
      </c>
      <c r="D5" s="5" t="s">
        <v>6</v>
      </c>
      <c r="E5" s="6">
        <v>43</v>
      </c>
      <c r="F5" s="6">
        <v>142</v>
      </c>
      <c r="G5" s="13">
        <f t="shared" si="0"/>
        <v>86.956521739130437</v>
      </c>
    </row>
    <row r="6" spans="1:7" ht="60.75" x14ac:dyDescent="0.25">
      <c r="A6" s="9">
        <v>5</v>
      </c>
      <c r="B6" s="9" t="s">
        <v>12</v>
      </c>
      <c r="C6" s="10">
        <v>59</v>
      </c>
      <c r="D6" s="9" t="s">
        <v>7</v>
      </c>
      <c r="E6" s="9">
        <v>28.38</v>
      </c>
      <c r="F6" s="11">
        <v>304</v>
      </c>
      <c r="G6" s="13">
        <f t="shared" si="0"/>
        <v>-34</v>
      </c>
    </row>
    <row r="32" spans="11:13" x14ac:dyDescent="0.25">
      <c r="K32" t="s">
        <v>46</v>
      </c>
      <c r="L32" t="s">
        <v>47</v>
      </c>
      <c r="M32" t="s">
        <v>13</v>
      </c>
    </row>
    <row r="33" spans="11:13" ht="30" x14ac:dyDescent="0.25">
      <c r="K33">
        <v>1</v>
      </c>
      <c r="L33" s="59" t="s">
        <v>48</v>
      </c>
      <c r="M33">
        <v>15</v>
      </c>
    </row>
    <row r="34" spans="11:13" ht="30" x14ac:dyDescent="0.25">
      <c r="K34">
        <v>2</v>
      </c>
      <c r="L34" s="59" t="s">
        <v>49</v>
      </c>
      <c r="M34">
        <v>40</v>
      </c>
    </row>
    <row r="35" spans="11:13" ht="30" x14ac:dyDescent="0.25">
      <c r="K35">
        <v>3</v>
      </c>
      <c r="L35" s="59" t="s">
        <v>50</v>
      </c>
      <c r="M35">
        <v>28</v>
      </c>
    </row>
    <row r="36" spans="11:13" ht="30" x14ac:dyDescent="0.25">
      <c r="K36">
        <v>4</v>
      </c>
      <c r="L36" s="59" t="s">
        <v>51</v>
      </c>
      <c r="M36">
        <v>17</v>
      </c>
    </row>
    <row r="37" spans="11:13" ht="30" x14ac:dyDescent="0.25">
      <c r="K37">
        <v>5</v>
      </c>
      <c r="L37" s="59" t="s">
        <v>52</v>
      </c>
      <c r="M37">
        <v>59</v>
      </c>
    </row>
    <row r="38" spans="11:13" x14ac:dyDescent="0.25">
      <c r="K38">
        <v>6</v>
      </c>
      <c r="L38" s="59" t="s">
        <v>53</v>
      </c>
      <c r="M38">
        <v>28.38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22" sqref="D22"/>
    </sheetView>
  </sheetViews>
  <sheetFormatPr defaultRowHeight="15" x14ac:dyDescent="0.25"/>
  <cols>
    <col min="2" max="2" width="9" bestFit="1" customWidth="1"/>
  </cols>
  <sheetData>
    <row r="1" spans="1:7" ht="47.25" customHeight="1" x14ac:dyDescent="0.3">
      <c r="A1" s="60" t="s">
        <v>16</v>
      </c>
      <c r="B1" s="60" t="s">
        <v>1</v>
      </c>
      <c r="C1" s="14" t="s">
        <v>17</v>
      </c>
      <c r="D1" s="14" t="s">
        <v>19</v>
      </c>
      <c r="E1" s="14" t="s">
        <v>20</v>
      </c>
      <c r="F1" s="16" t="s">
        <v>21</v>
      </c>
      <c r="G1" s="62" t="s">
        <v>22</v>
      </c>
    </row>
    <row r="2" spans="1:7" ht="15.75" thickBot="1" x14ac:dyDescent="0.3">
      <c r="A2" s="61"/>
      <c r="B2" s="61"/>
      <c r="C2" s="15" t="s">
        <v>18</v>
      </c>
      <c r="D2" s="15" t="s">
        <v>18</v>
      </c>
      <c r="E2" s="15" t="s">
        <v>18</v>
      </c>
      <c r="F2" s="17" t="s">
        <v>18</v>
      </c>
      <c r="G2" s="63"/>
    </row>
    <row r="3" spans="1:7" ht="33.75" thickBot="1" x14ac:dyDescent="0.3">
      <c r="A3" s="18">
        <v>1</v>
      </c>
      <c r="B3" s="19" t="s">
        <v>23</v>
      </c>
      <c r="C3" s="20">
        <v>3</v>
      </c>
      <c r="D3" s="21">
        <v>2</v>
      </c>
      <c r="E3" s="22">
        <v>3</v>
      </c>
      <c r="F3" s="23">
        <v>2</v>
      </c>
      <c r="G3" s="24"/>
    </row>
    <row r="4" spans="1:7" ht="33.75" thickBot="1" x14ac:dyDescent="0.3">
      <c r="A4" s="25">
        <v>2</v>
      </c>
      <c r="B4" s="26" t="s">
        <v>3</v>
      </c>
      <c r="C4" s="27">
        <v>9</v>
      </c>
      <c r="D4" s="28">
        <v>5</v>
      </c>
      <c r="E4" s="29">
        <v>9</v>
      </c>
      <c r="F4" s="30">
        <v>5</v>
      </c>
      <c r="G4" s="31">
        <v>10</v>
      </c>
    </row>
    <row r="5" spans="1:7" ht="33.75" thickBot="1" x14ac:dyDescent="0.3">
      <c r="A5" s="32">
        <v>3</v>
      </c>
      <c r="B5" s="33" t="s">
        <v>4</v>
      </c>
      <c r="C5" s="27">
        <v>2</v>
      </c>
      <c r="D5" s="28">
        <v>0</v>
      </c>
      <c r="E5" s="29">
        <v>2</v>
      </c>
      <c r="F5" s="30">
        <v>0</v>
      </c>
      <c r="G5" s="34">
        <v>28</v>
      </c>
    </row>
    <row r="6" spans="1:7" ht="33.75" thickBot="1" x14ac:dyDescent="0.3">
      <c r="A6" s="25">
        <v>4</v>
      </c>
      <c r="B6" s="26" t="s">
        <v>5</v>
      </c>
      <c r="C6" s="35">
        <v>8</v>
      </c>
      <c r="D6" s="36">
        <v>0</v>
      </c>
      <c r="E6" s="29">
        <v>7</v>
      </c>
      <c r="F6" s="30">
        <v>1</v>
      </c>
      <c r="G6" s="31">
        <v>23</v>
      </c>
    </row>
    <row r="7" spans="1:7" ht="33.75" thickBot="1" x14ac:dyDescent="0.3">
      <c r="A7" s="32">
        <v>5</v>
      </c>
      <c r="B7" s="33" t="s">
        <v>6</v>
      </c>
      <c r="C7" s="35">
        <v>12</v>
      </c>
      <c r="D7" s="36">
        <v>2</v>
      </c>
      <c r="E7" s="29">
        <v>13</v>
      </c>
      <c r="F7" s="30">
        <v>2</v>
      </c>
      <c r="G7" s="34">
        <v>43</v>
      </c>
    </row>
    <row r="8" spans="1:7" ht="33.75" thickBot="1" x14ac:dyDescent="0.3">
      <c r="A8" s="25">
        <v>6</v>
      </c>
      <c r="B8" s="26" t="s">
        <v>7</v>
      </c>
      <c r="C8" s="35">
        <v>4</v>
      </c>
      <c r="D8" s="36">
        <v>1</v>
      </c>
      <c r="E8" s="29">
        <v>4</v>
      </c>
      <c r="F8" s="30">
        <v>0</v>
      </c>
      <c r="G8" s="31">
        <v>33</v>
      </c>
    </row>
    <row r="9" spans="1:7" ht="24" thickBot="1" x14ac:dyDescent="0.3">
      <c r="A9" s="37"/>
      <c r="B9" s="38" t="s">
        <v>24</v>
      </c>
      <c r="C9" s="39">
        <v>38</v>
      </c>
      <c r="D9" s="40">
        <v>10</v>
      </c>
      <c r="E9" s="41">
        <v>38</v>
      </c>
      <c r="F9" s="42">
        <v>10</v>
      </c>
      <c r="G9" s="37">
        <f>SUM(G4:G8)</f>
        <v>137</v>
      </c>
    </row>
  </sheetData>
  <mergeCells count="3">
    <mergeCell ref="A1:A2"/>
    <mergeCell ref="B1:B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B2" sqref="B2:D19"/>
    </sheetView>
  </sheetViews>
  <sheetFormatPr defaultRowHeight="15" x14ac:dyDescent="0.25"/>
  <sheetData>
    <row r="1" spans="1:6" ht="45.75" thickBot="1" x14ac:dyDescent="0.3">
      <c r="A1" s="43" t="s">
        <v>25</v>
      </c>
      <c r="B1" s="43" t="s">
        <v>26</v>
      </c>
      <c r="C1" s="43" t="s">
        <v>27</v>
      </c>
      <c r="D1" s="43" t="s">
        <v>28</v>
      </c>
    </row>
    <row r="2" spans="1:6" ht="30" thickTop="1" thickBot="1" x14ac:dyDescent="0.3">
      <c r="A2" s="44">
        <v>1</v>
      </c>
      <c r="B2" s="48" t="s">
        <v>34</v>
      </c>
      <c r="C2" s="49">
        <v>1</v>
      </c>
      <c r="D2" s="49">
        <v>22</v>
      </c>
      <c r="F2">
        <v>9</v>
      </c>
    </row>
    <row r="3" spans="1:6" ht="15.75" thickBot="1" x14ac:dyDescent="0.3">
      <c r="A3" s="47">
        <v>2</v>
      </c>
      <c r="B3" s="48" t="s">
        <v>38</v>
      </c>
      <c r="C3" s="49">
        <v>1</v>
      </c>
      <c r="D3" s="49">
        <v>35</v>
      </c>
    </row>
    <row r="4" spans="1:6" ht="15.75" thickBot="1" x14ac:dyDescent="0.3">
      <c r="A4" s="50">
        <v>3</v>
      </c>
      <c r="B4" s="48" t="s">
        <v>40</v>
      </c>
      <c r="C4" s="49">
        <v>2</v>
      </c>
      <c r="D4" s="49">
        <v>102</v>
      </c>
      <c r="F4">
        <v>11</v>
      </c>
    </row>
    <row r="5" spans="1:6" ht="15.75" thickBot="1" x14ac:dyDescent="0.3">
      <c r="A5" s="47">
        <v>4</v>
      </c>
      <c r="B5" s="51" t="s">
        <v>43</v>
      </c>
      <c r="C5" s="52">
        <v>2</v>
      </c>
      <c r="D5" s="52">
        <v>68</v>
      </c>
    </row>
    <row r="6" spans="1:6" ht="29.25" thickBot="1" x14ac:dyDescent="0.3">
      <c r="A6" s="50">
        <v>5</v>
      </c>
      <c r="B6" s="51" t="s">
        <v>44</v>
      </c>
      <c r="C6" s="52">
        <v>2</v>
      </c>
      <c r="D6" s="52">
        <v>49</v>
      </c>
      <c r="F6">
        <v>12</v>
      </c>
    </row>
    <row r="7" spans="1:6" ht="29.25" thickBot="1" x14ac:dyDescent="0.3">
      <c r="A7" s="47">
        <v>6</v>
      </c>
      <c r="B7" s="48" t="s">
        <v>42</v>
      </c>
      <c r="C7" s="49">
        <v>3</v>
      </c>
      <c r="D7" s="49">
        <v>56</v>
      </c>
      <c r="F7">
        <v>1</v>
      </c>
    </row>
    <row r="8" spans="1:6" ht="15.75" thickBot="1" x14ac:dyDescent="0.3">
      <c r="A8" s="50">
        <v>7</v>
      </c>
      <c r="B8" s="51" t="s">
        <v>39</v>
      </c>
      <c r="C8" s="52">
        <v>3</v>
      </c>
      <c r="D8" s="52">
        <v>84</v>
      </c>
    </row>
    <row r="9" spans="1:6" ht="29.25" thickBot="1" x14ac:dyDescent="0.3">
      <c r="A9" s="47">
        <v>8</v>
      </c>
      <c r="B9" s="51" t="s">
        <v>41</v>
      </c>
      <c r="C9" s="52">
        <v>4</v>
      </c>
      <c r="D9" s="52">
        <v>112</v>
      </c>
      <c r="F9">
        <v>10</v>
      </c>
    </row>
    <row r="10" spans="1:6" ht="29.25" thickBot="1" x14ac:dyDescent="0.3">
      <c r="A10" s="50">
        <v>9</v>
      </c>
      <c r="B10" s="51" t="s">
        <v>35</v>
      </c>
      <c r="C10" s="52">
        <v>5</v>
      </c>
      <c r="D10" s="52">
        <v>261</v>
      </c>
    </row>
    <row r="11" spans="1:6" ht="15.75" thickBot="1" x14ac:dyDescent="0.3">
      <c r="A11" s="47">
        <v>10</v>
      </c>
      <c r="B11" s="48" t="s">
        <v>32</v>
      </c>
      <c r="C11" s="49">
        <v>6</v>
      </c>
      <c r="D11" s="49">
        <v>179</v>
      </c>
      <c r="F11">
        <v>2</v>
      </c>
    </row>
    <row r="12" spans="1:6" ht="16.5" thickTop="1" thickBot="1" x14ac:dyDescent="0.3">
      <c r="A12" s="50">
        <v>11</v>
      </c>
      <c r="B12" s="45" t="s">
        <v>29</v>
      </c>
      <c r="C12" s="46">
        <v>7</v>
      </c>
      <c r="D12" s="46">
        <v>143</v>
      </c>
      <c r="F12">
        <v>7</v>
      </c>
    </row>
    <row r="13" spans="1:6" ht="43.5" thickBot="1" x14ac:dyDescent="0.3">
      <c r="A13" s="47">
        <v>12</v>
      </c>
      <c r="B13" s="48" t="s">
        <v>36</v>
      </c>
      <c r="C13" s="49">
        <v>8</v>
      </c>
      <c r="D13" s="49">
        <v>619</v>
      </c>
      <c r="F13">
        <v>3</v>
      </c>
    </row>
    <row r="14" spans="1:6" ht="43.5" thickBot="1" x14ac:dyDescent="0.3">
      <c r="A14" s="50">
        <v>13</v>
      </c>
      <c r="B14" s="51" t="s">
        <v>31</v>
      </c>
      <c r="C14" s="52">
        <v>10</v>
      </c>
      <c r="D14" s="52">
        <v>15</v>
      </c>
      <c r="F14">
        <v>8</v>
      </c>
    </row>
    <row r="15" spans="1:6" ht="43.5" thickBot="1" x14ac:dyDescent="0.3">
      <c r="A15" s="47">
        <v>14</v>
      </c>
      <c r="B15" s="51" t="s">
        <v>33</v>
      </c>
      <c r="C15" s="52">
        <v>15</v>
      </c>
      <c r="D15" s="53">
        <v>1241</v>
      </c>
      <c r="F15">
        <v>6</v>
      </c>
    </row>
    <row r="16" spans="1:6" ht="15.75" thickBot="1" x14ac:dyDescent="0.3">
      <c r="A16" s="50">
        <v>15</v>
      </c>
      <c r="B16" s="51" t="s">
        <v>37</v>
      </c>
      <c r="C16" s="52">
        <v>21</v>
      </c>
      <c r="D16" s="52">
        <v>775</v>
      </c>
      <c r="F16">
        <v>4</v>
      </c>
    </row>
    <row r="17" spans="1:6" ht="43.5" thickBot="1" x14ac:dyDescent="0.3">
      <c r="A17" s="58">
        <v>16</v>
      </c>
      <c r="B17" s="54" t="s">
        <v>45</v>
      </c>
      <c r="C17" s="58">
        <v>25</v>
      </c>
      <c r="D17" s="58">
        <v>590</v>
      </c>
    </row>
    <row r="18" spans="1:6" ht="43.5" thickBot="1" x14ac:dyDescent="0.3">
      <c r="A18" s="50">
        <v>17</v>
      </c>
      <c r="B18" s="48" t="s">
        <v>30</v>
      </c>
      <c r="C18" s="49">
        <v>28</v>
      </c>
      <c r="D18" s="49">
        <v>793</v>
      </c>
      <c r="F18">
        <v>5</v>
      </c>
    </row>
    <row r="19" spans="1:6" ht="15.75" thickBot="1" x14ac:dyDescent="0.3">
      <c r="A19" s="47"/>
      <c r="B19" s="55" t="s">
        <v>24</v>
      </c>
      <c r="C19" s="56">
        <f>SUM(C2:C18)</f>
        <v>143</v>
      </c>
      <c r="D19" s="57">
        <f>SUM(D2:D18)</f>
        <v>5144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BSTC</cp:lastModifiedBy>
  <dcterms:created xsi:type="dcterms:W3CDTF">2024-10-04T09:12:27Z</dcterms:created>
  <dcterms:modified xsi:type="dcterms:W3CDTF">2024-11-12T11:14:09Z</dcterms:modified>
</cp:coreProperties>
</file>