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charts\charts\excel charts\"/>
    </mc:Choice>
  </mc:AlternateContent>
  <xr:revisionPtr revIDLastSave="0" documentId="13_ncr:1_{5A8E0013-7589-4913-ACF4-93BBD48143D6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4" l="1"/>
  <c r="E58" i="4"/>
  <c r="F58" i="4"/>
  <c r="G58" i="4"/>
  <c r="H58" i="4"/>
  <c r="C58" i="4"/>
  <c r="E6" i="4" l="1"/>
  <c r="F6" i="4"/>
  <c r="G6" i="4"/>
  <c r="H6" i="4"/>
  <c r="D6" i="4"/>
  <c r="E5" i="4"/>
  <c r="F5" i="4"/>
  <c r="G5" i="4"/>
  <c r="H5" i="4"/>
  <c r="D5" i="4"/>
  <c r="D4" i="4"/>
  <c r="E4" i="4"/>
  <c r="D1" i="6"/>
  <c r="C1" i="6"/>
  <c r="F17" i="6"/>
  <c r="H7" i="4" l="1"/>
  <c r="G7" i="4"/>
  <c r="F7" i="4"/>
  <c r="E7" i="4"/>
  <c r="D7" i="4"/>
  <c r="G4" i="4"/>
  <c r="F4" i="4"/>
  <c r="H4" i="4"/>
  <c r="G16" i="8" l="1"/>
  <c r="F16" i="8"/>
  <c r="E16" i="8"/>
  <c r="D16" i="8"/>
  <c r="C16" i="8"/>
  <c r="C15" i="5"/>
  <c r="E15" i="5"/>
  <c r="D14" i="5"/>
  <c r="C14" i="6"/>
  <c r="E14" i="6" s="1"/>
  <c r="D14" i="6"/>
  <c r="F30" i="5"/>
  <c r="E15" i="2"/>
  <c r="F15" i="2"/>
  <c r="G15" i="2"/>
  <c r="D15" i="2"/>
  <c r="C15" i="2"/>
  <c r="D2" i="5" l="1"/>
  <c r="D3" i="5"/>
  <c r="D4" i="5"/>
  <c r="D5" i="5"/>
  <c r="D15" i="5" s="1"/>
  <c r="D6" i="5"/>
  <c r="D7" i="5"/>
  <c r="D8" i="5"/>
  <c r="D9" i="5"/>
  <c r="D10" i="5"/>
  <c r="D11" i="5"/>
  <c r="D12" i="5"/>
  <c r="D13" i="5"/>
  <c r="G9" i="1" l="1"/>
</calcChain>
</file>

<file path=xl/sharedStrings.xml><?xml version="1.0" encoding="utf-8"?>
<sst xmlns="http://schemas.openxmlformats.org/spreadsheetml/2006/main" count="157" uniqueCount="77">
  <si>
    <t>Sl no</t>
  </si>
  <si>
    <t>Year</t>
  </si>
  <si>
    <t>Def</t>
  </si>
  <si>
    <t>Non Def</t>
  </si>
  <si>
    <t>2019-20</t>
  </si>
  <si>
    <t>2020-21</t>
  </si>
  <si>
    <t>2021-22</t>
  </si>
  <si>
    <t>2022-23</t>
  </si>
  <si>
    <t xml:space="preserve">2023-24 </t>
  </si>
  <si>
    <t>2024-25(Q2)</t>
  </si>
  <si>
    <t>Sl. No.</t>
  </si>
  <si>
    <t>SW Domain</t>
  </si>
  <si>
    <t>Obtainable by BEL</t>
  </si>
  <si>
    <t>2025 - 26</t>
  </si>
  <si>
    <t>2026 - 27</t>
  </si>
  <si>
    <t>2027 - 28</t>
  </si>
  <si>
    <t>2028 - 29</t>
  </si>
  <si>
    <t>2029 - 30</t>
  </si>
  <si>
    <t>ERP</t>
  </si>
  <si>
    <t>Digital Identity</t>
  </si>
  <si>
    <t xml:space="preserve">VMS, VA </t>
  </si>
  <si>
    <t>HMIS</t>
  </si>
  <si>
    <t>AI/ML</t>
  </si>
  <si>
    <t>ICCC</t>
  </si>
  <si>
    <t>NMS</t>
  </si>
  <si>
    <t xml:space="preserve">Digital Agriculture </t>
  </si>
  <si>
    <t xml:space="preserve">Simulators </t>
  </si>
  <si>
    <t>Cloud Services</t>
  </si>
  <si>
    <t>BFSI</t>
  </si>
  <si>
    <t>DRDO Projects</t>
  </si>
  <si>
    <t>Total</t>
  </si>
  <si>
    <t>Sl</t>
  </si>
  <si>
    <t>Project</t>
  </si>
  <si>
    <t>2024-25</t>
  </si>
  <si>
    <t>2025-26</t>
  </si>
  <si>
    <t>2026-27</t>
  </si>
  <si>
    <t>2027-28</t>
  </si>
  <si>
    <t>2028-29</t>
  </si>
  <si>
    <t>2029-30</t>
  </si>
  <si>
    <t>UDI (Unique Digital Identity) – Africa + Latin America</t>
  </si>
  <si>
    <t>PAT (OMAN), Simulators</t>
  </si>
  <si>
    <t> 20</t>
  </si>
  <si>
    <t> 25</t>
  </si>
  <si>
    <t> 30</t>
  </si>
  <si>
    <t>IV&amp;V, Custom SW Development</t>
  </si>
  <si>
    <t>Total in Crores</t>
  </si>
  <si>
    <t>Total in Million USD</t>
  </si>
  <si>
    <t>Sl. No</t>
  </si>
  <si>
    <t>Projects</t>
  </si>
  <si>
    <t xml:space="preserve">2027-28 </t>
  </si>
  <si>
    <t>Software Business (Domestic)</t>
  </si>
  <si>
    <t>Exports</t>
  </si>
  <si>
    <t>(Count)</t>
  </si>
  <si>
    <t>ST</t>
  </si>
  <si>
    <t>MT</t>
  </si>
  <si>
    <t>Total Value in Crores</t>
  </si>
  <si>
    <t>Business Segment</t>
  </si>
  <si>
    <t>Overall Available Business</t>
  </si>
  <si>
    <t>Available for BEL</t>
  </si>
  <si>
    <t>Actual Addressable by BEL (2025-2030)</t>
  </si>
  <si>
    <t>Defence Projects</t>
  </si>
  <si>
    <t>Defence Project</t>
  </si>
  <si>
    <t xml:space="preserve">Overall Obtainable by BEL </t>
  </si>
  <si>
    <t>(2025-2030)</t>
  </si>
  <si>
    <t>Value in Crores</t>
  </si>
  <si>
    <t>Digital Identity/Blockchain</t>
  </si>
  <si>
    <t>Simulation Platforms</t>
  </si>
  <si>
    <t>Cloud Services(MSP)</t>
  </si>
  <si>
    <t>B2B Projects</t>
  </si>
  <si>
    <t>-</t>
  </si>
  <si>
    <t>total</t>
  </si>
  <si>
    <t>Sl.no</t>
  </si>
  <si>
    <t> 2.3</t>
  </si>
  <si>
    <t> 2.9</t>
  </si>
  <si>
    <t> 3.5</t>
  </si>
  <si>
    <t>PAT (OMAN), Simulation Platforms</t>
  </si>
  <si>
    <t>SW Assurance, Custom SW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</si>
</sst>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1"/>
      <color rgb="FF000000"/>
      <name val="Yu Gothic UI Semibold"/>
      <family val="2"/>
    </font>
    <font>
      <sz val="11"/>
      <color rgb="FFFFFFFF"/>
      <name val="Arial Black"/>
      <family val="2"/>
    </font>
    <font>
      <sz val="10.5"/>
      <color rgb="FFFFFFFF"/>
      <name val="Arial Black"/>
      <family val="2"/>
    </font>
    <font>
      <sz val="12"/>
      <color rgb="FFFFFFFF"/>
      <name val="Arial Black"/>
      <family val="2"/>
    </font>
    <font>
      <sz val="14"/>
      <color rgb="FF2C2C2C"/>
      <name val="Yu Gothic UI Semibold"/>
      <family val="2"/>
    </font>
    <font>
      <sz val="14"/>
      <color rgb="FF2C2C2C"/>
      <name val="Arial Black"/>
      <family val="2"/>
    </font>
    <font>
      <b/>
      <sz val="14"/>
      <color rgb="FFFFFFFF"/>
      <name val="Arial Black"/>
      <family val="2"/>
    </font>
    <font>
      <sz val="16"/>
      <color rgb="FF2C2C2C"/>
      <name val="Yu Gothic UI Semibold"/>
      <family val="2"/>
    </font>
    <font>
      <b/>
      <sz val="11"/>
      <color rgb="FFFFFFFF"/>
      <name val="Arial Black"/>
      <family val="2"/>
    </font>
    <font>
      <sz val="12"/>
      <color rgb="FF2C2C2C"/>
      <name val="Yu Gothic UI Semibold"/>
      <family val="2"/>
    </font>
    <font>
      <b/>
      <sz val="12"/>
      <color rgb="FF2C2C2C"/>
      <name val="Yu Gothic UI Semibold"/>
      <family val="2"/>
    </font>
    <font>
      <b/>
      <sz val="11"/>
      <color rgb="FF2C2C2C"/>
      <name val="Arial Black"/>
      <family val="2"/>
    </font>
    <font>
      <b/>
      <sz val="12"/>
      <color rgb="FFFFFFFF"/>
      <name val="Yu Gothic UI Semibold"/>
      <family val="2"/>
    </font>
    <font>
      <sz val="11"/>
      <color rgb="FF10253F"/>
      <name val="Yu Gothic UI Semibold"/>
      <family val="2"/>
    </font>
    <font>
      <b/>
      <sz val="11"/>
      <color rgb="FF000000"/>
      <name val="Arial"/>
      <family val="2"/>
    </font>
    <font>
      <sz val="11"/>
      <color rgb="FFFFFFFF"/>
      <name val="Yu Gothic UI Semibold"/>
      <family val="2"/>
    </font>
    <font>
      <b/>
      <sz val="10.5"/>
      <color rgb="FFFFFFFF"/>
      <name val="Yu Gothic UI Semibold"/>
      <family val="2"/>
    </font>
    <font>
      <b/>
      <sz val="12"/>
      <color rgb="FF2C2C2C"/>
      <name val="Arial"/>
      <family val="2"/>
    </font>
    <font>
      <sz val="12"/>
      <color rgb="FFFFFFFF"/>
      <name val="Yu Gothic UI Semibold"/>
      <family val="2"/>
    </font>
    <font>
      <b/>
      <sz val="14"/>
      <color rgb="FFFFFFFF"/>
      <name val="Yu Gothic UI Semibold"/>
      <family val="2"/>
    </font>
    <font>
      <b/>
      <sz val="14"/>
      <color rgb="FF2C2C2C"/>
      <name val="Arial"/>
      <family val="2"/>
    </font>
    <font>
      <sz val="14"/>
      <color rgb="FFFFFFFF"/>
      <name val="Yu Gothic UI Semibold"/>
      <family val="2"/>
    </font>
    <font>
      <sz val="18"/>
      <name val="Arial"/>
    </font>
    <font>
      <sz val="14"/>
      <color rgb="FF2C2C2C"/>
      <name val="Yu Gothic UI Semibold"/>
    </font>
    <font>
      <sz val="12"/>
      <color rgb="FF2C2C2C"/>
      <name val="Yu Gothic UI Semibold"/>
    </font>
    <font>
      <sz val="11"/>
      <color rgb="FF000000"/>
      <name val="Bahnschrift"/>
      <family val="2"/>
    </font>
    <font>
      <b/>
      <sz val="16"/>
      <color rgb="FFFFFFFF"/>
      <name val="Yu Gothic UI Semibold"/>
    </font>
    <font>
      <sz val="16"/>
      <color rgb="FF2C2C2C"/>
      <name val="Yu Gothic UI Semibold"/>
    </font>
    <font>
      <b/>
      <sz val="14"/>
      <color rgb="FF2C2C2C"/>
      <name val="Arial"/>
    </font>
    <font>
      <sz val="11"/>
      <color rgb="FF2C2C2C"/>
      <name val="Yu Gothic UI Semibold"/>
      <family val="2"/>
    </font>
    <font>
      <b/>
      <sz val="11"/>
      <color rgb="FF2C2C2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46C0A"/>
        <bgColor indexed="64"/>
      </patternFill>
    </fill>
    <fill>
      <patternFill patternType="solid">
        <fgColor rgb="FFFCDDCF"/>
        <bgColor indexed="64"/>
      </patternFill>
    </fill>
    <fill>
      <patternFill patternType="solid">
        <fgColor rgb="FFFDEFE9"/>
        <bgColor indexed="64"/>
      </patternFill>
    </fill>
    <fill>
      <patternFill patternType="solid">
        <fgColor rgb="FF604A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CCFD7"/>
        <bgColor indexed="64"/>
      </patternFill>
    </fill>
    <fill>
      <patternFill patternType="solid">
        <fgColor rgb="FFE7E9EC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DCE6F2"/>
        <bgColor indexed="64"/>
      </patternFill>
    </fill>
  </fills>
  <borders count="26">
    <border>
      <left/>
      <right/>
      <top/>
      <bottom/>
      <diagonal/>
    </border>
    <border>
      <left style="medium">
        <color rgb="FFE46C0A"/>
      </left>
      <right style="medium">
        <color rgb="FFE46C0A"/>
      </right>
      <top style="medium">
        <color rgb="FF984807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E46C0A"/>
      </left>
      <right style="medium">
        <color rgb="FFFFFFFF"/>
      </right>
      <top style="medium">
        <color rgb="FFE46C0A"/>
      </top>
      <bottom/>
      <diagonal/>
    </border>
    <border>
      <left style="medium">
        <color rgb="FFE46C0A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E46C0A"/>
      </right>
      <top style="medium">
        <color rgb="FFE46C0A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E46C0A"/>
      </right>
      <top style="medium">
        <color rgb="FFFFFFFF"/>
      </top>
      <bottom style="medium">
        <color rgb="FFFFFFFF"/>
      </bottom>
      <diagonal/>
    </border>
    <border>
      <left style="medium">
        <color rgb="FFE46C0A"/>
      </left>
      <right style="medium">
        <color rgb="FFE46C0A"/>
      </right>
      <top style="medium">
        <color rgb="FFFFFFFF"/>
      </top>
      <bottom style="medium">
        <color rgb="FFE46C0A"/>
      </bottom>
      <diagonal/>
    </border>
    <border>
      <left style="medium">
        <color rgb="FF376092"/>
      </left>
      <right style="medium">
        <color rgb="FF376092"/>
      </right>
      <top style="medium">
        <color rgb="FF376092"/>
      </top>
      <bottom style="medium">
        <color rgb="FF376092"/>
      </bottom>
      <diagonal/>
    </border>
    <border>
      <left style="medium">
        <color rgb="FF1F497D"/>
      </left>
      <right style="medium">
        <color rgb="FF1F497D"/>
      </right>
      <top style="medium">
        <color rgb="FF376092"/>
      </top>
      <bottom style="medium">
        <color rgb="FF1F497D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 style="medium">
        <color rgb="FF984807"/>
      </left>
      <right style="medium">
        <color rgb="FF984807"/>
      </right>
      <top style="medium">
        <color rgb="FF984807"/>
      </top>
      <bottom/>
      <diagonal/>
    </border>
    <border>
      <left style="medium">
        <color rgb="FF984807"/>
      </left>
      <right style="medium">
        <color rgb="FF984807"/>
      </right>
      <top/>
      <bottom style="medium">
        <color rgb="FF98480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46C0A"/>
      </left>
      <right style="medium">
        <color rgb="FFE46C0A"/>
      </right>
      <top/>
      <bottom style="medium">
        <color rgb="FFE46C0A"/>
      </bottom>
      <diagonal/>
    </border>
    <border>
      <left style="medium">
        <color rgb="FFE46C0A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E46C0A"/>
      </right>
      <top style="medium">
        <color rgb="FFE46C0A"/>
      </top>
      <bottom/>
      <diagonal/>
    </border>
    <border>
      <left style="medium">
        <color rgb="FFFFFFFF"/>
      </left>
      <right style="medium">
        <color rgb="FFE46C0A"/>
      </right>
      <top/>
      <bottom style="medium">
        <color rgb="FFFFFFFF"/>
      </bottom>
      <diagonal/>
    </border>
    <border>
      <left style="medium">
        <color rgb="FF95B3D7"/>
      </left>
      <right style="medium">
        <color rgb="FF95B3D7"/>
      </right>
      <top style="medium">
        <color rgb="FF95B3D7"/>
      </top>
      <bottom style="medium">
        <color rgb="FF95B3D7"/>
      </bottom>
      <diagonal/>
    </border>
    <border>
      <left style="medium">
        <color rgb="FF1F497D"/>
      </left>
      <right style="medium">
        <color rgb="FF1F497D"/>
      </right>
      <top style="medium">
        <color rgb="FF95B3D7"/>
      </top>
      <bottom style="medium">
        <color rgb="FF1F497D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center" vertical="center" wrapText="1" readingOrder="1"/>
    </xf>
    <xf numFmtId="0" fontId="5" fillId="5" borderId="9" xfId="0" applyFont="1" applyFill="1" applyBorder="1" applyAlignment="1">
      <alignment horizontal="center" vertical="center" wrapText="1" readingOrder="1"/>
    </xf>
    <xf numFmtId="0" fontId="5" fillId="5" borderId="10" xfId="0" applyFont="1" applyFill="1" applyBorder="1" applyAlignment="1">
      <alignment horizontal="center" vertical="center" wrapText="1" readingOrder="1"/>
    </xf>
    <xf numFmtId="0" fontId="6" fillId="6" borderId="11" xfId="0" applyFont="1" applyFill="1" applyBorder="1" applyAlignment="1">
      <alignment horizontal="center" vertical="center" wrapText="1" readingOrder="1"/>
    </xf>
    <xf numFmtId="0" fontId="6" fillId="6" borderId="11" xfId="0" applyFont="1" applyFill="1" applyBorder="1" applyAlignment="1">
      <alignment horizontal="left" vertical="center" wrapText="1" readingOrder="1"/>
    </xf>
    <xf numFmtId="0" fontId="6" fillId="7" borderId="2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center" wrapText="1" readingOrder="1"/>
    </xf>
    <xf numFmtId="0" fontId="6" fillId="7" borderId="2" xfId="0" applyFont="1" applyFill="1" applyBorder="1" applyAlignment="1">
      <alignment horizontal="center" wrapText="1" readingOrder="1"/>
    </xf>
    <xf numFmtId="0" fontId="6" fillId="8" borderId="2" xfId="0" applyFont="1" applyFill="1" applyBorder="1" applyAlignment="1">
      <alignment horizontal="left" vertical="top" wrapText="1" readingOrder="1"/>
    </xf>
    <xf numFmtId="0" fontId="7" fillId="8" borderId="2" xfId="0" applyFont="1" applyFill="1" applyBorder="1" applyAlignment="1">
      <alignment horizontal="left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8" fillId="9" borderId="12" xfId="0" applyFont="1" applyFill="1" applyBorder="1" applyAlignment="1">
      <alignment horizontal="center" vertical="center" wrapText="1" readingOrder="1"/>
    </xf>
    <xf numFmtId="0" fontId="9" fillId="10" borderId="13" xfId="0" applyFont="1" applyFill="1" applyBorder="1" applyAlignment="1">
      <alignment horizontal="center" vertical="top" wrapText="1" readingOrder="1"/>
    </xf>
    <xf numFmtId="0" fontId="9" fillId="10" borderId="13" xfId="0" applyFont="1" applyFill="1" applyBorder="1" applyAlignment="1">
      <alignment horizontal="left" vertical="top" wrapText="1" readingOrder="1"/>
    </xf>
    <xf numFmtId="0" fontId="9" fillId="10" borderId="13" xfId="0" applyFont="1" applyFill="1" applyBorder="1" applyAlignment="1">
      <alignment horizontal="center" vertical="center" wrapText="1" readingOrder="1"/>
    </xf>
    <xf numFmtId="0" fontId="9" fillId="11" borderId="14" xfId="0" applyFont="1" applyFill="1" applyBorder="1" applyAlignment="1">
      <alignment horizontal="center" vertical="top" wrapText="1" readingOrder="1"/>
    </xf>
    <xf numFmtId="0" fontId="9" fillId="11" borderId="14" xfId="0" applyFont="1" applyFill="1" applyBorder="1" applyAlignment="1">
      <alignment horizontal="left" vertical="top" wrapText="1" readingOrder="1"/>
    </xf>
    <xf numFmtId="0" fontId="9" fillId="11" borderId="14" xfId="0" applyFont="1" applyFill="1" applyBorder="1" applyAlignment="1">
      <alignment horizontal="center" vertical="center" wrapText="1" readingOrder="1"/>
    </xf>
    <xf numFmtId="0" fontId="9" fillId="10" borderId="14" xfId="0" applyFont="1" applyFill="1" applyBorder="1" applyAlignment="1">
      <alignment horizontal="center" vertical="top" wrapText="1" readingOrder="1"/>
    </xf>
    <xf numFmtId="0" fontId="9" fillId="10" borderId="14" xfId="0" applyFont="1" applyFill="1" applyBorder="1" applyAlignment="1">
      <alignment horizontal="left" vertical="top" wrapText="1" readingOrder="1"/>
    </xf>
    <xf numFmtId="0" fontId="9" fillId="10" borderId="14" xfId="0" applyFont="1" applyFill="1" applyBorder="1" applyAlignment="1">
      <alignment horizontal="center" vertical="center" wrapText="1" readingOrder="1"/>
    </xf>
    <xf numFmtId="0" fontId="7" fillId="11" borderId="14" xfId="0" applyFont="1" applyFill="1" applyBorder="1" applyAlignment="1">
      <alignment horizontal="left" vertical="center" wrapText="1" readingOrder="1"/>
    </xf>
    <xf numFmtId="0" fontId="7" fillId="11" borderId="14" xfId="0" applyFont="1" applyFill="1" applyBorder="1" applyAlignment="1">
      <alignment horizontal="center" vertical="top" wrapText="1" readingOrder="1"/>
    </xf>
    <xf numFmtId="0" fontId="7" fillId="10" borderId="14" xfId="0" applyFont="1" applyFill="1" applyBorder="1" applyAlignment="1">
      <alignment horizontal="left" vertical="center" wrapText="1" readingOrder="1"/>
    </xf>
    <xf numFmtId="0" fontId="7" fillId="10" borderId="14" xfId="0" applyFont="1" applyFill="1" applyBorder="1" applyAlignment="1">
      <alignment horizontal="center" vertical="top" wrapText="1" readingOrder="1"/>
    </xf>
    <xf numFmtId="0" fontId="7" fillId="10" borderId="14" xfId="0" applyFont="1" applyFill="1" applyBorder="1" applyAlignment="1">
      <alignment horizontal="center" vertical="center" wrapText="1" readingOrder="1"/>
    </xf>
    <xf numFmtId="0" fontId="10" fillId="9" borderId="12" xfId="0" applyFont="1" applyFill="1" applyBorder="1" applyAlignment="1">
      <alignment horizontal="center" vertical="center" wrapText="1" readingOrder="1"/>
    </xf>
    <xf numFmtId="0" fontId="11" fillId="12" borderId="13" xfId="0" applyFont="1" applyFill="1" applyBorder="1" applyAlignment="1">
      <alignment horizontal="center" vertical="center" wrapText="1" readingOrder="1"/>
    </xf>
    <xf numFmtId="0" fontId="11" fillId="12" borderId="13" xfId="0" applyFont="1" applyFill="1" applyBorder="1" applyAlignment="1">
      <alignment horizontal="left" vertical="center" wrapText="1" indent="1" readingOrder="1"/>
    </xf>
    <xf numFmtId="0" fontId="11" fillId="12" borderId="13" xfId="0" applyFont="1" applyFill="1" applyBorder="1" applyAlignment="1">
      <alignment horizontal="center" vertical="top" wrapText="1" readingOrder="1"/>
    </xf>
    <xf numFmtId="0" fontId="11" fillId="11" borderId="14" xfId="0" applyFont="1" applyFill="1" applyBorder="1" applyAlignment="1">
      <alignment horizontal="center" vertical="center" wrapText="1" readingOrder="1"/>
    </xf>
    <xf numFmtId="0" fontId="11" fillId="11" borderId="14" xfId="0" applyFont="1" applyFill="1" applyBorder="1" applyAlignment="1">
      <alignment horizontal="left" vertical="center" wrapText="1" indent="1" readingOrder="1"/>
    </xf>
    <xf numFmtId="0" fontId="11" fillId="11" borderId="14" xfId="0" applyFont="1" applyFill="1" applyBorder="1" applyAlignment="1">
      <alignment horizontal="center" vertical="top" wrapText="1" readingOrder="1"/>
    </xf>
    <xf numFmtId="0" fontId="12" fillId="11" borderId="14" xfId="0" applyFont="1" applyFill="1" applyBorder="1" applyAlignment="1">
      <alignment horizontal="center" vertical="top" wrapText="1" readingOrder="1"/>
    </xf>
    <xf numFmtId="0" fontId="1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left" vertical="center" wrapText="1" indent="1" readingOrder="1"/>
    </xf>
    <xf numFmtId="0" fontId="13" fillId="7" borderId="14" xfId="0" applyFont="1" applyFill="1" applyBorder="1" applyAlignment="1">
      <alignment horizontal="center" vertical="top" wrapText="1" readingOrder="1"/>
    </xf>
    <xf numFmtId="0" fontId="14" fillId="2" borderId="15" xfId="0" applyFont="1" applyFill="1" applyBorder="1" applyAlignment="1">
      <alignment horizontal="center" vertical="center" wrapText="1" readingOrder="1"/>
    </xf>
    <xf numFmtId="0" fontId="14" fillId="2" borderId="16" xfId="0" applyFont="1" applyFill="1" applyBorder="1" applyAlignment="1">
      <alignment horizontal="center" vertical="center" wrapText="1" readingOrder="1"/>
    </xf>
    <xf numFmtId="0" fontId="15" fillId="4" borderId="2" xfId="0" applyFont="1" applyFill="1" applyBorder="1" applyAlignment="1">
      <alignment horizontal="center" vertical="center" wrapText="1" readingOrder="1"/>
    </xf>
    <xf numFmtId="0" fontId="15" fillId="3" borderId="2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 indent="1" readingOrder="1"/>
    </xf>
    <xf numFmtId="0" fontId="16" fillId="3" borderId="2" xfId="0" applyFont="1" applyFill="1" applyBorder="1" applyAlignment="1">
      <alignment horizontal="center" vertical="center" wrapText="1" readingOrder="1"/>
    </xf>
    <xf numFmtId="0" fontId="11" fillId="6" borderId="11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left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left" vertical="center" wrapText="1" readingOrder="1"/>
    </xf>
    <xf numFmtId="0" fontId="11" fillId="8" borderId="2" xfId="0" applyFont="1" applyFill="1" applyBorder="1" applyAlignment="1">
      <alignment horizontal="left" vertical="top" wrapText="1" readingOrder="1"/>
    </xf>
    <xf numFmtId="0" fontId="19" fillId="8" borderId="2" xfId="0" applyFont="1" applyFill="1" applyBorder="1" applyAlignment="1">
      <alignment horizontal="left" vertical="center" wrapText="1" readingOrder="1"/>
    </xf>
    <xf numFmtId="0" fontId="6" fillId="8" borderId="2" xfId="0" applyFont="1" applyFill="1" applyBorder="1" applyAlignment="1">
      <alignment horizontal="center" vertical="center" wrapText="1" readingOrder="1"/>
    </xf>
    <xf numFmtId="0" fontId="11" fillId="8" borderId="2" xfId="0" applyFont="1" applyFill="1" applyBorder="1" applyAlignment="1">
      <alignment horizontal="center" vertical="center" wrapText="1" readingOrder="1"/>
    </xf>
    <xf numFmtId="0" fontId="17" fillId="2" borderId="17" xfId="0" applyFont="1" applyFill="1" applyBorder="1" applyAlignment="1">
      <alignment horizontal="center" vertical="center" wrapText="1" readingOrder="1"/>
    </xf>
    <xf numFmtId="0" fontId="11" fillId="6" borderId="18" xfId="0" applyFont="1" applyFill="1" applyBorder="1" applyAlignment="1">
      <alignment horizontal="center" vertical="center" wrapText="1" readingOrder="1"/>
    </xf>
    <xf numFmtId="0" fontId="11" fillId="6" borderId="18" xfId="0" applyFont="1" applyFill="1" applyBorder="1" applyAlignment="1">
      <alignment horizontal="left" vertical="center" wrapText="1" readingOrder="1"/>
    </xf>
    <xf numFmtId="0" fontId="6" fillId="6" borderId="18" xfId="0" applyFont="1" applyFill="1" applyBorder="1" applyAlignment="1">
      <alignment horizontal="center" vertical="center" wrapText="1" readingOrder="1"/>
    </xf>
    <xf numFmtId="0" fontId="18" fillId="2" borderId="17" xfId="0" applyFont="1" applyFill="1" applyBorder="1" applyAlignment="1">
      <alignment horizontal="center" vertical="center" wrapText="1" readingOrder="1"/>
    </xf>
    <xf numFmtId="0" fontId="20" fillId="2" borderId="21" xfId="0" applyFont="1" applyFill="1" applyBorder="1" applyAlignment="1">
      <alignment horizontal="center" vertical="center" wrapText="1" readingOrder="1"/>
    </xf>
    <xf numFmtId="0" fontId="20" fillId="2" borderId="22" xfId="0" applyFont="1" applyFill="1" applyBorder="1" applyAlignment="1">
      <alignment horizontal="center" vertical="center" wrapText="1" readingOrder="1"/>
    </xf>
    <xf numFmtId="0" fontId="21" fillId="2" borderId="10" xfId="0" applyFont="1" applyFill="1" applyBorder="1" applyAlignment="1">
      <alignment horizontal="center" vertical="center" wrapText="1" readingOrder="1"/>
    </xf>
    <xf numFmtId="0" fontId="17" fillId="2" borderId="5" xfId="0" applyFont="1" applyFill="1" applyBorder="1" applyAlignment="1">
      <alignment horizontal="center" vertical="center" wrapText="1" readingOrder="1"/>
    </xf>
    <xf numFmtId="0" fontId="17" fillId="2" borderId="8" xfId="0" applyFont="1" applyFill="1" applyBorder="1" applyAlignment="1">
      <alignment horizontal="center" vertical="center" wrapText="1" readingOrder="1"/>
    </xf>
    <xf numFmtId="0" fontId="23" fillId="2" borderId="9" xfId="0" applyFont="1" applyFill="1" applyBorder="1" applyAlignment="1">
      <alignment horizontal="center" vertical="center" wrapText="1" readingOrder="1"/>
    </xf>
    <xf numFmtId="0" fontId="23" fillId="2" borderId="10" xfId="0" applyFont="1" applyFill="1" applyBorder="1" applyAlignment="1">
      <alignment horizontal="center" vertical="center" wrapText="1" readingOrder="1"/>
    </xf>
    <xf numFmtId="0" fontId="6" fillId="8" borderId="2" xfId="0" applyFont="1" applyFill="1" applyBorder="1" applyAlignment="1">
      <alignment horizontal="center" wrapText="1" readingOrder="1"/>
    </xf>
    <xf numFmtId="0" fontId="6" fillId="8" borderId="2" xfId="0" applyFont="1" applyFill="1" applyBorder="1" applyAlignment="1">
      <alignment horizontal="left" wrapText="1" readingOrder="1"/>
    </xf>
    <xf numFmtId="0" fontId="22" fillId="8" borderId="2" xfId="0" applyFont="1" applyFill="1" applyBorder="1" applyAlignment="1">
      <alignment horizontal="left" vertical="center" wrapText="1" readingOrder="1"/>
    </xf>
    <xf numFmtId="0" fontId="1" fillId="8" borderId="2" xfId="0" applyFont="1" applyFill="1" applyBorder="1" applyAlignment="1">
      <alignment vertical="center" wrapText="1"/>
    </xf>
    <xf numFmtId="0" fontId="25" fillId="7" borderId="2" xfId="0" applyFont="1" applyFill="1" applyBorder="1" applyAlignment="1">
      <alignment horizontal="center" vertical="center" wrapText="1" readingOrder="1"/>
    </xf>
    <xf numFmtId="0" fontId="25" fillId="7" borderId="2" xfId="0" applyFont="1" applyFill="1" applyBorder="1" applyAlignment="1">
      <alignment horizontal="left" vertical="center" wrapText="1" readingOrder="1"/>
    </xf>
    <xf numFmtId="0" fontId="25" fillId="6" borderId="2" xfId="0" applyFont="1" applyFill="1" applyBorder="1" applyAlignment="1">
      <alignment horizontal="left" vertical="center" wrapText="1" readingOrder="1"/>
    </xf>
    <xf numFmtId="0" fontId="25" fillId="6" borderId="2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wrapText="1" readingOrder="1"/>
    </xf>
    <xf numFmtId="0" fontId="25" fillId="7" borderId="2" xfId="0" applyFont="1" applyFill="1" applyBorder="1" applyAlignment="1">
      <alignment horizontal="center" wrapText="1" readingOrder="1"/>
    </xf>
    <xf numFmtId="0" fontId="26" fillId="6" borderId="11" xfId="0" applyFont="1" applyFill="1" applyBorder="1" applyAlignment="1">
      <alignment horizontal="left" vertical="center" wrapText="1" readingOrder="1"/>
    </xf>
    <xf numFmtId="0" fontId="26" fillId="6" borderId="11" xfId="0" applyFont="1" applyFill="1" applyBorder="1" applyAlignment="1">
      <alignment horizontal="center" vertical="center" wrapText="1" readingOrder="1"/>
    </xf>
    <xf numFmtId="0" fontId="26" fillId="7" borderId="2" xfId="0" applyFont="1" applyFill="1" applyBorder="1" applyAlignment="1">
      <alignment horizontal="left" vertical="center" wrapText="1" readingOrder="1"/>
    </xf>
    <xf numFmtId="0" fontId="26" fillId="7" borderId="2" xfId="0" applyFont="1" applyFill="1" applyBorder="1" applyAlignment="1">
      <alignment horizontal="center" vertical="center" wrapText="1" readingOrder="1"/>
    </xf>
    <xf numFmtId="0" fontId="26" fillId="6" borderId="2" xfId="0" applyFont="1" applyFill="1" applyBorder="1" applyAlignment="1">
      <alignment horizontal="left" vertical="center" wrapText="1" readingOrder="1"/>
    </xf>
    <xf numFmtId="0" fontId="26" fillId="6" borderId="2" xfId="0" applyFont="1" applyFill="1" applyBorder="1" applyAlignment="1">
      <alignment horizontal="center" vertical="center" wrapText="1" readingOrder="1"/>
    </xf>
    <xf numFmtId="0" fontId="26" fillId="8" borderId="2" xfId="0" applyFont="1" applyFill="1" applyBorder="1" applyAlignment="1">
      <alignment horizontal="left" vertical="center" wrapText="1" readingOrder="1"/>
    </xf>
    <xf numFmtId="0" fontId="26" fillId="8" borderId="2" xfId="0" applyFont="1" applyFill="1" applyBorder="1" applyAlignment="1">
      <alignment horizontal="center" vertical="center" wrapText="1" readingOrder="1"/>
    </xf>
    <xf numFmtId="0" fontId="25" fillId="8" borderId="2" xfId="0" applyFont="1" applyFill="1" applyBorder="1" applyAlignment="1">
      <alignment horizontal="left" vertical="center" wrapText="1" readingOrder="1"/>
    </xf>
    <xf numFmtId="0" fontId="25" fillId="8" borderId="2" xfId="0" applyFont="1" applyFill="1" applyBorder="1" applyAlignment="1">
      <alignment horizontal="center" vertical="center" wrapText="1" readingOrder="1"/>
    </xf>
    <xf numFmtId="0" fontId="24" fillId="8" borderId="2" xfId="0" applyFont="1" applyFill="1" applyBorder="1" applyAlignment="1">
      <alignment horizontal="center" wrapText="1"/>
    </xf>
    <xf numFmtId="0" fontId="27" fillId="6" borderId="11" xfId="0" applyFont="1" applyFill="1" applyBorder="1" applyAlignment="1">
      <alignment horizontal="center" wrapText="1" readingOrder="1"/>
    </xf>
    <xf numFmtId="0" fontId="27" fillId="7" borderId="2" xfId="0" applyFont="1" applyFill="1" applyBorder="1" applyAlignment="1">
      <alignment horizontal="center" wrapText="1" readingOrder="1"/>
    </xf>
    <xf numFmtId="0" fontId="27" fillId="6" borderId="2" xfId="0" applyFont="1" applyFill="1" applyBorder="1" applyAlignment="1">
      <alignment horizontal="center" wrapText="1" readingOrder="1"/>
    </xf>
    <xf numFmtId="0" fontId="28" fillId="9" borderId="23" xfId="0" applyFont="1" applyFill="1" applyBorder="1" applyAlignment="1">
      <alignment horizontal="center" vertical="center" wrapText="1" readingOrder="1"/>
    </xf>
    <xf numFmtId="0" fontId="29" fillId="13" borderId="24" xfId="0" applyFont="1" applyFill="1" applyBorder="1" applyAlignment="1">
      <alignment horizontal="center" vertical="top" wrapText="1" readingOrder="1"/>
    </xf>
    <xf numFmtId="0" fontId="29" fillId="13" borderId="24" xfId="0" applyFont="1" applyFill="1" applyBorder="1" applyAlignment="1">
      <alignment horizontal="center" vertical="center" wrapText="1" readingOrder="1"/>
    </xf>
    <xf numFmtId="0" fontId="29" fillId="13" borderId="14" xfId="0" applyFont="1" applyFill="1" applyBorder="1" applyAlignment="1">
      <alignment horizontal="center" vertical="center" wrapText="1" readingOrder="1"/>
    </xf>
    <xf numFmtId="0" fontId="30" fillId="13" borderId="14" xfId="0" applyFont="1" applyFill="1" applyBorder="1" applyAlignment="1">
      <alignment horizontal="center" vertical="top" wrapText="1" readingOrder="1"/>
    </xf>
    <xf numFmtId="0" fontId="31" fillId="13" borderId="24" xfId="0" applyFont="1" applyFill="1" applyBorder="1" applyAlignment="1">
      <alignment horizontal="left" vertical="top" wrapText="1" readingOrder="1"/>
    </xf>
    <xf numFmtId="0" fontId="31" fillId="6" borderId="25" xfId="0" applyFont="1" applyFill="1" applyBorder="1" applyAlignment="1">
      <alignment horizontal="left" vertical="top" wrapText="1" readingOrder="1"/>
    </xf>
    <xf numFmtId="0" fontId="31" fillId="13" borderId="25" xfId="0" applyFont="1" applyFill="1" applyBorder="1" applyAlignment="1">
      <alignment horizontal="left" vertical="top" wrapText="1" readingOrder="1"/>
    </xf>
    <xf numFmtId="0" fontId="32" fillId="13" borderId="14" xfId="0" applyFont="1" applyFill="1" applyBorder="1" applyAlignment="1">
      <alignment horizontal="left" vertical="center" wrapText="1" readingOrder="1"/>
    </xf>
    <xf numFmtId="0" fontId="29" fillId="6" borderId="25" xfId="0" applyFont="1" applyFill="1" applyBorder="1" applyAlignment="1">
      <alignment vertical="top" wrapText="1" readingOrder="1"/>
    </xf>
    <xf numFmtId="0" fontId="29" fillId="6" borderId="25" xfId="0" applyFont="1" applyFill="1" applyBorder="1" applyAlignment="1">
      <alignment vertical="center" wrapText="1" readingOrder="1"/>
    </xf>
    <xf numFmtId="0" fontId="9" fillId="6" borderId="25" xfId="0" applyFont="1" applyFill="1" applyBorder="1" applyAlignment="1">
      <alignment vertical="center" wrapText="1" readingOrder="1"/>
    </xf>
    <xf numFmtId="0" fontId="29" fillId="13" borderId="25" xfId="0" applyFont="1" applyFill="1" applyBorder="1" applyAlignment="1">
      <alignment vertical="center" wrapText="1" readingOrder="1"/>
    </xf>
    <xf numFmtId="0" fontId="29" fillId="13" borderId="25" xfId="0" applyFont="1" applyFill="1" applyBorder="1" applyAlignment="1">
      <alignment vertical="top" wrapText="1" readingOrder="1"/>
    </xf>
    <xf numFmtId="0" fontId="14" fillId="2" borderId="15" xfId="0" applyFont="1" applyFill="1" applyBorder="1" applyAlignment="1">
      <alignment horizontal="center" wrapText="1" readingOrder="1"/>
    </xf>
    <xf numFmtId="0" fontId="14" fillId="2" borderId="16" xfId="0" applyFont="1" applyFill="1" applyBorder="1" applyAlignment="1">
      <alignment horizontal="center" wrapText="1" readingOrder="1"/>
    </xf>
    <xf numFmtId="0" fontId="14" fillId="2" borderId="15" xfId="0" applyFont="1" applyFill="1" applyBorder="1" applyAlignment="1">
      <alignment horizontal="center" vertical="center" wrapText="1" readingOrder="1"/>
    </xf>
    <xf numFmtId="0" fontId="14" fillId="2" borderId="16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3" fillId="5" borderId="7" xfId="0" applyFont="1" applyFill="1" applyBorder="1" applyAlignment="1">
      <alignment horizontal="center" vertical="center" wrapText="1" readingOrder="1"/>
    </xf>
    <xf numFmtId="0" fontId="20" fillId="2" borderId="3" xfId="0" applyFont="1" applyFill="1" applyBorder="1" applyAlignment="1">
      <alignment horizontal="center" vertical="center" wrapText="1" readingOrder="1"/>
    </xf>
    <xf numFmtId="0" fontId="20" fillId="2" borderId="19" xfId="0" applyFont="1" applyFill="1" applyBorder="1" applyAlignment="1">
      <alignment horizontal="center" vertical="center" wrapText="1" readingOrder="1"/>
    </xf>
    <xf numFmtId="0" fontId="20" fillId="2" borderId="4" xfId="0" applyFont="1" applyFill="1" applyBorder="1" applyAlignment="1">
      <alignment horizontal="center" vertical="center" wrapText="1" readingOrder="1"/>
    </xf>
    <xf numFmtId="0" fontId="20" fillId="2" borderId="6" xfId="0" applyFont="1" applyFill="1" applyBorder="1" applyAlignment="1">
      <alignment horizontal="center" vertical="center" wrapText="1" readingOrder="1"/>
    </xf>
    <xf numFmtId="0" fontId="20" fillId="2" borderId="20" xfId="0" applyFont="1" applyFill="1" applyBorder="1" applyAlignment="1">
      <alignment horizontal="center" vertical="center" wrapText="1" readingOrder="1"/>
    </xf>
    <xf numFmtId="0" fontId="20" fillId="2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BC0-4074-A1C8-695BE8866D44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BC0-4074-A1C8-695BE8866D4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3BC0-4074-A1C8-695BE8866D4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7-3BC0-4074-A1C8-695BE8866D4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9-3BC0-4074-A1C8-695BE8866D4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Sheet1!$B$3:$B$8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 </c:v>
                </c:pt>
                <c:pt idx="5">
                  <c:v>2024-25(Q2)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6.5</c:v>
                </c:pt>
                <c:pt idx="1">
                  <c:v>44</c:v>
                </c:pt>
                <c:pt idx="2">
                  <c:v>71</c:v>
                </c:pt>
                <c:pt idx="3">
                  <c:v>105</c:v>
                </c:pt>
                <c:pt idx="4">
                  <c:v>142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C0-4074-A1C8-695BE8866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984076990376203"/>
          <c:y val="0.16438494908754694"/>
          <c:w val="0.51142957130358702"/>
          <c:h val="0.7816055991330409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1-5414-4258-ADDD-48595E1E6727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414-4258-ADDD-48595E1E672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5414-4258-ADDD-48595E1E6727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414-4258-ADDD-48595E1E6727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5414-4258-ADDD-48595E1E6727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B-5414-4258-ADDD-48595E1E6727}"/>
              </c:ext>
            </c:extLst>
          </c:dPt>
          <c:dLbls>
            <c:dLbl>
              <c:idx val="0"/>
              <c:layout>
                <c:manualLayout>
                  <c:x val="2.7777777777777776E-2"/>
                  <c:y val="-0.19664220488928019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="1" dirty="0">
                        <a:solidFill>
                          <a:srgbClr val="00B0F0"/>
                        </a:solidFill>
                      </a:rPr>
                      <a:t>2019-20
2%</a:t>
                    </a:r>
                  </a:p>
                </c:rich>
              </c:tx>
              <c:spPr>
                <a:ln>
                  <a:solidFill>
                    <a:srgbClr val="00B0F0"/>
                  </a:solidFill>
                </a:ln>
              </c:sp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414-4258-ADDD-48595E1E6727}"/>
                </c:ext>
              </c:extLst>
            </c:dLbl>
            <c:dLbl>
              <c:idx val="1"/>
              <c:layout>
                <c:manualLayout>
                  <c:x val="0.1388888888888889"/>
                  <c:y val="-0.12772403852646372"/>
                </c:manualLayout>
              </c:layout>
              <c:spPr>
                <a:ln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b="1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14-4258-ADDD-48595E1E6727}"/>
                </c:ext>
              </c:extLst>
            </c:dLbl>
            <c:dLbl>
              <c:idx val="2"/>
              <c:layout>
                <c:manualLayout>
                  <c:x val="0.15833333333333344"/>
                  <c:y val="-2.5855677519031582E-2"/>
                </c:manualLayout>
              </c:layout>
              <c:spPr>
                <a:ln>
                  <a:solidFill>
                    <a:srgbClr val="00B050"/>
                  </a:solidFill>
                </a:ln>
              </c:spPr>
              <c:txPr>
                <a:bodyPr/>
                <a:lstStyle/>
                <a:p>
                  <a:pPr>
                    <a:defRPr b="1">
                      <a:solidFill>
                        <a:srgbClr val="92D05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14-4258-ADDD-48595E1E6727}"/>
                </c:ext>
              </c:extLst>
            </c:dLbl>
            <c:dLbl>
              <c:idx val="3"/>
              <c:layout>
                <c:manualLayout>
                  <c:x val="0.20277777777777778"/>
                  <c:y val="5.0925925925926013E-2"/>
                </c:manualLayout>
              </c:layout>
              <c:spPr>
                <a:ln>
                  <a:solidFill>
                    <a:schemeClr val="accent6">
                      <a:lumMod val="75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b="1">
                      <a:solidFill>
                        <a:schemeClr val="accent6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14-4258-ADDD-48595E1E6727}"/>
                </c:ext>
              </c:extLst>
            </c:dLbl>
            <c:dLbl>
              <c:idx val="4"/>
              <c:layout>
                <c:manualLayout>
                  <c:x val="-0.15277777777777779"/>
                  <c:y val="0"/>
                </c:manualLayout>
              </c:layout>
              <c:spPr>
                <a:ln>
                  <a:solidFill>
                    <a:schemeClr val="tx2">
                      <a:lumMod val="75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b="1">
                      <a:solidFill>
                        <a:schemeClr val="tx2">
                          <a:lumMod val="50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14-4258-ADDD-48595E1E6727}"/>
                </c:ext>
              </c:extLst>
            </c:dLbl>
            <c:dLbl>
              <c:idx val="5"/>
              <c:layout>
                <c:manualLayout>
                  <c:x val="-0.1388888888888889"/>
                  <c:y val="-0.15627091268034626"/>
                </c:manualLayout>
              </c:layout>
              <c:spPr>
                <a:ln>
                  <a:solidFill>
                    <a:srgbClr val="FFC000"/>
                  </a:solidFill>
                </a:ln>
              </c:spPr>
              <c:txPr>
                <a:bodyPr/>
                <a:lstStyle/>
                <a:p>
                  <a:pPr>
                    <a:defRPr b="1">
                      <a:solidFill>
                        <a:srgbClr val="FFC0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14-4258-ADDD-48595E1E67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Sheet1!$B$3:$B$8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 </c:v>
                </c:pt>
                <c:pt idx="5">
                  <c:v>2024-25(Q2)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6.5</c:v>
                </c:pt>
                <c:pt idx="1">
                  <c:v>44</c:v>
                </c:pt>
                <c:pt idx="2">
                  <c:v>71</c:v>
                </c:pt>
                <c:pt idx="3">
                  <c:v>105</c:v>
                </c:pt>
                <c:pt idx="4">
                  <c:v>142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14-4258-ADDD-48595E1E6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Sheet2!$G$1:$G$2</c:f>
              <c:strCache>
                <c:ptCount val="2"/>
                <c:pt idx="0">
                  <c:v>Obtainable by BEL</c:v>
                </c:pt>
                <c:pt idx="1">
                  <c:v>2029 - 30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Sheet2!$B$3:$B$14</c:f>
              <c:strCache>
                <c:ptCount val="12"/>
                <c:pt idx="0">
                  <c:v>ERP</c:v>
                </c:pt>
                <c:pt idx="1">
                  <c:v>Digital Identity/Blockchain</c:v>
                </c:pt>
                <c:pt idx="2">
                  <c:v>HMIS</c:v>
                </c:pt>
                <c:pt idx="3">
                  <c:v>AI/ML</c:v>
                </c:pt>
                <c:pt idx="4">
                  <c:v>NMS</c:v>
                </c:pt>
                <c:pt idx="5">
                  <c:v>Digital Agriculture </c:v>
                </c:pt>
                <c:pt idx="6">
                  <c:v>Simulation Platforms</c:v>
                </c:pt>
                <c:pt idx="7">
                  <c:v>Cloud Services(MSP)</c:v>
                </c:pt>
                <c:pt idx="8">
                  <c:v>BFSI</c:v>
                </c:pt>
                <c:pt idx="9">
                  <c:v>DRDO Projects</c:v>
                </c:pt>
                <c:pt idx="10">
                  <c:v>Defence Projects</c:v>
                </c:pt>
                <c:pt idx="11">
                  <c:v>B2B Projects</c:v>
                </c:pt>
              </c:strCache>
            </c:strRef>
          </c:cat>
          <c:val>
            <c:numRef>
              <c:f>Sheet2!$G$3:$G$14</c:f>
              <c:numCache>
                <c:formatCode>General</c:formatCode>
                <c:ptCount val="12"/>
                <c:pt idx="0">
                  <c:v>175</c:v>
                </c:pt>
                <c:pt idx="1">
                  <c:v>200</c:v>
                </c:pt>
                <c:pt idx="2">
                  <c:v>100</c:v>
                </c:pt>
                <c:pt idx="3">
                  <c:v>200</c:v>
                </c:pt>
                <c:pt idx="4">
                  <c:v>15</c:v>
                </c:pt>
                <c:pt idx="5">
                  <c:v>120</c:v>
                </c:pt>
                <c:pt idx="6">
                  <c:v>50</c:v>
                </c:pt>
                <c:pt idx="7">
                  <c:v>60</c:v>
                </c:pt>
                <c:pt idx="8">
                  <c:v>200</c:v>
                </c:pt>
                <c:pt idx="9">
                  <c:v>70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1-48E5-8465-B3F7D16A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916544"/>
        <c:axId val="131918080"/>
      </c:barChart>
      <c:catAx>
        <c:axId val="1319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8080"/>
        <c:crosses val="autoZero"/>
        <c:auto val="1"/>
        <c:lblAlgn val="ctr"/>
        <c:lblOffset val="100"/>
        <c:noMultiLvlLbl val="0"/>
      </c:catAx>
      <c:valAx>
        <c:axId val="1319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UDI (Unique Digital Identity) – Africa + Latin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Sheet3!$C$2:$H$2</c:f>
              <c:numCache>
                <c:formatCode>General</c:formatCode>
                <c:ptCount val="6"/>
                <c:pt idx="0">
                  <c:v>140</c:v>
                </c:pt>
                <c:pt idx="1">
                  <c:v>150</c:v>
                </c:pt>
                <c:pt idx="2">
                  <c:v>170</c:v>
                </c:pt>
                <c:pt idx="3">
                  <c:v>200</c:v>
                </c:pt>
                <c:pt idx="4">
                  <c:v>230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1-44BF-93C7-A1414F0C6BE9}"/>
            </c:ext>
          </c:extLst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PAT (OMAN), Simulators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Sheet3!$C$3:$H$3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1-44BF-93C7-A1414F0C6BE9}"/>
            </c:ext>
          </c:extLst>
        </c:ser>
        <c:ser>
          <c:idx val="2"/>
          <c:order val="2"/>
          <c:tx>
            <c:strRef>
              <c:f>Sheet3!$B$4</c:f>
              <c:strCache>
                <c:ptCount val="1"/>
                <c:pt idx="0">
                  <c:v>IV&amp;V, Custom SW Development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Sheet3!$C$4:$H$4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85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21-44BF-93C7-A1414F0C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1935232"/>
        <c:axId val="131937024"/>
      </c:barChart>
      <c:lineChart>
        <c:grouping val="standard"/>
        <c:varyColors val="0"/>
        <c:ser>
          <c:idx val="3"/>
          <c:order val="3"/>
          <c:tx>
            <c:strRef>
              <c:f>Sheet3!$B$5</c:f>
              <c:strCache>
                <c:ptCount val="1"/>
                <c:pt idx="0">
                  <c:v>Total in Crores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Sheet3!$C$5:$H$5</c:f>
              <c:numCache>
                <c:formatCode>General</c:formatCode>
                <c:ptCount val="6"/>
                <c:pt idx="0">
                  <c:v>155</c:v>
                </c:pt>
                <c:pt idx="1">
                  <c:v>160</c:v>
                </c:pt>
                <c:pt idx="2">
                  <c:v>190</c:v>
                </c:pt>
                <c:pt idx="3">
                  <c:v>240</c:v>
                </c:pt>
                <c:pt idx="4">
                  <c:v>350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21-44BF-93C7-A1414F0C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35232"/>
        <c:axId val="131937024"/>
      </c:lineChart>
      <c:catAx>
        <c:axId val="1319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7024"/>
        <c:crosses val="autoZero"/>
        <c:auto val="1"/>
        <c:lblAlgn val="ctr"/>
        <c:lblOffset val="100"/>
        <c:noMultiLvlLbl val="0"/>
      </c:catAx>
      <c:valAx>
        <c:axId val="131937024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52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Software Business (Domestic)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Sheet4!$C$2:$H$2</c:f>
              <c:numCache>
                <c:formatCode>General</c:formatCode>
                <c:ptCount val="6"/>
                <c:pt idx="0">
                  <c:v>1220</c:v>
                </c:pt>
                <c:pt idx="1">
                  <c:v>320</c:v>
                </c:pt>
                <c:pt idx="2">
                  <c:v>500</c:v>
                </c:pt>
                <c:pt idx="3">
                  <c:v>720</c:v>
                </c:pt>
                <c:pt idx="4">
                  <c:v>1020</c:v>
                </c:pt>
                <c:pt idx="5">
                  <c:v>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6-406D-93C0-7FAEB409F6B8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Sheet4!$C$3:$H$3</c:f>
              <c:numCache>
                <c:formatCode>General</c:formatCode>
                <c:ptCount val="6"/>
                <c:pt idx="0">
                  <c:v>155</c:v>
                </c:pt>
                <c:pt idx="1">
                  <c:v>160</c:v>
                </c:pt>
                <c:pt idx="2">
                  <c:v>190</c:v>
                </c:pt>
                <c:pt idx="3">
                  <c:v>240</c:v>
                </c:pt>
                <c:pt idx="4">
                  <c:v>350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6-406D-93C0-7FAEB409F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2002560"/>
        <c:axId val="132004096"/>
      </c:barChart>
      <c:lineChart>
        <c:grouping val="standard"/>
        <c:varyColors val="0"/>
        <c:ser>
          <c:idx val="2"/>
          <c:order val="2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Sheet4!$C$4:$H$4</c:f>
              <c:numCache>
                <c:formatCode>General</c:formatCode>
                <c:ptCount val="6"/>
                <c:pt idx="0">
                  <c:v>1375</c:v>
                </c:pt>
                <c:pt idx="1">
                  <c:v>480</c:v>
                </c:pt>
                <c:pt idx="2">
                  <c:v>690</c:v>
                </c:pt>
                <c:pt idx="3">
                  <c:v>960</c:v>
                </c:pt>
                <c:pt idx="4">
                  <c:v>1370</c:v>
                </c:pt>
                <c:pt idx="5">
                  <c:v>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86-406D-93C0-7FAEB409F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02560"/>
        <c:axId val="132004096"/>
      </c:lineChart>
      <c:catAx>
        <c:axId val="1320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4096"/>
        <c:crosses val="autoZero"/>
        <c:auto val="1"/>
        <c:lblAlgn val="ctr"/>
        <c:lblOffset val="100"/>
        <c:noMultiLvlLbl val="0"/>
      </c:catAx>
      <c:valAx>
        <c:axId val="1320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Overall Available Business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Sheet5!$B$2:$B$14</c:f>
              <c:strCache>
                <c:ptCount val="13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DRDO Projects</c:v>
                </c:pt>
                <c:pt idx="12">
                  <c:v>Defence Project</c:v>
                </c:pt>
              </c:strCache>
            </c:strRef>
          </c:cat>
          <c:val>
            <c:numRef>
              <c:f>Sheet5!$C$2:$C$14</c:f>
              <c:numCache>
                <c:formatCode>General</c:formatCode>
                <c:ptCount val="13"/>
                <c:pt idx="0">
                  <c:v>4505</c:v>
                </c:pt>
                <c:pt idx="1">
                  <c:v>8550</c:v>
                </c:pt>
                <c:pt idx="2">
                  <c:v>570</c:v>
                </c:pt>
                <c:pt idx="3">
                  <c:v>2083</c:v>
                </c:pt>
                <c:pt idx="4">
                  <c:v>1530</c:v>
                </c:pt>
                <c:pt idx="5">
                  <c:v>588</c:v>
                </c:pt>
                <c:pt idx="6">
                  <c:v>558</c:v>
                </c:pt>
                <c:pt idx="7">
                  <c:v>2210</c:v>
                </c:pt>
                <c:pt idx="8">
                  <c:v>1190</c:v>
                </c:pt>
                <c:pt idx="9">
                  <c:v>1445</c:v>
                </c:pt>
                <c:pt idx="10">
                  <c:v>3139</c:v>
                </c:pt>
                <c:pt idx="11">
                  <c:v>1804</c:v>
                </c:pt>
                <c:pt idx="12">
                  <c:v>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B-4E64-9220-064CB5763399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Available for BEL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Sheet5!$B$2:$B$14</c:f>
              <c:strCache>
                <c:ptCount val="13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DRDO Projects</c:v>
                </c:pt>
                <c:pt idx="12">
                  <c:v>Defence Project</c:v>
                </c:pt>
              </c:strCache>
            </c:strRef>
          </c:cat>
          <c:val>
            <c:numRef>
              <c:f>Sheet5!$D$2:$D$14</c:f>
              <c:numCache>
                <c:formatCode>General</c:formatCode>
                <c:ptCount val="13"/>
                <c:pt idx="0">
                  <c:v>2252.5</c:v>
                </c:pt>
                <c:pt idx="1">
                  <c:v>4275</c:v>
                </c:pt>
                <c:pt idx="2">
                  <c:v>285</c:v>
                </c:pt>
                <c:pt idx="3">
                  <c:v>1041.5</c:v>
                </c:pt>
                <c:pt idx="4">
                  <c:v>765</c:v>
                </c:pt>
                <c:pt idx="5">
                  <c:v>294</c:v>
                </c:pt>
                <c:pt idx="6">
                  <c:v>279</c:v>
                </c:pt>
                <c:pt idx="7">
                  <c:v>1105</c:v>
                </c:pt>
                <c:pt idx="8">
                  <c:v>595</c:v>
                </c:pt>
                <c:pt idx="9">
                  <c:v>722.5</c:v>
                </c:pt>
                <c:pt idx="10">
                  <c:v>1569.5</c:v>
                </c:pt>
                <c:pt idx="11">
                  <c:v>902</c:v>
                </c:pt>
                <c:pt idx="12">
                  <c:v>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B-4E64-9220-064CB5763399}"/>
            </c:ext>
          </c:extLst>
        </c:ser>
        <c:ser>
          <c:idx val="2"/>
          <c:order val="2"/>
          <c:tx>
            <c:strRef>
              <c:f>Sheet5!$E$1</c:f>
              <c:strCache>
                <c:ptCount val="1"/>
                <c:pt idx="0">
                  <c:v>Actual Addressable by BEL (2025-2030)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4.16149451906747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8B-4E64-9220-064CB5763399}"/>
                </c:ext>
              </c:extLst>
            </c:dLbl>
            <c:dLbl>
              <c:idx val="1"/>
              <c:layout>
                <c:manualLayout>
                  <c:x val="0"/>
                  <c:y val="-4.66733570068447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8B-4E64-9220-064CB5763399}"/>
                </c:ext>
              </c:extLst>
            </c:dLbl>
            <c:dLbl>
              <c:idx val="12"/>
              <c:layout>
                <c:manualLayout>
                  <c:x val="0"/>
                  <c:y val="-5.45398748233393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8B-4E64-9220-064CB57633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Sheet5!$B$2:$B$14</c:f>
              <c:strCache>
                <c:ptCount val="13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DRDO Projects</c:v>
                </c:pt>
                <c:pt idx="12">
                  <c:v>Defence Project</c:v>
                </c:pt>
              </c:strCache>
            </c:strRef>
          </c:cat>
          <c:val>
            <c:numRef>
              <c:f>Sheet5!$E$2:$E$14</c:f>
              <c:numCache>
                <c:formatCode>General</c:formatCode>
                <c:ptCount val="13"/>
                <c:pt idx="0">
                  <c:v>530</c:v>
                </c:pt>
                <c:pt idx="1">
                  <c:v>1140</c:v>
                </c:pt>
                <c:pt idx="2">
                  <c:v>60</c:v>
                </c:pt>
                <c:pt idx="3">
                  <c:v>245</c:v>
                </c:pt>
                <c:pt idx="4">
                  <c:v>180</c:v>
                </c:pt>
                <c:pt idx="5">
                  <c:v>60</c:v>
                </c:pt>
                <c:pt idx="6">
                  <c:v>60</c:v>
                </c:pt>
                <c:pt idx="7">
                  <c:v>260</c:v>
                </c:pt>
                <c:pt idx="8">
                  <c:v>140</c:v>
                </c:pt>
                <c:pt idx="9">
                  <c:v>170</c:v>
                </c:pt>
                <c:pt idx="10">
                  <c:v>365</c:v>
                </c:pt>
                <c:pt idx="11">
                  <c:v>205</c:v>
                </c:pt>
                <c:pt idx="12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8B-4E64-9220-064CB576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overlap val="100"/>
        <c:axId val="132035712"/>
        <c:axId val="132037248"/>
      </c:barChart>
      <c:catAx>
        <c:axId val="13203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2037248"/>
        <c:crosses val="autoZero"/>
        <c:auto val="1"/>
        <c:lblAlgn val="ctr"/>
        <c:lblOffset val="100"/>
        <c:noMultiLvlLbl val="0"/>
      </c:catAx>
      <c:valAx>
        <c:axId val="132037248"/>
        <c:scaling>
          <c:orientation val="minMax"/>
        </c:scaling>
        <c:delete val="0"/>
        <c:axPos val="l"/>
        <c:majorGridlines>
          <c:spPr>
            <a:ln>
              <a:solidFill>
                <a:schemeClr val="bg2">
                  <a:lumMod val="75000"/>
                  <a:alpha val="36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3203571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Sheet6!$B$3:$B$13</c:f>
              <c:strCache>
                <c:ptCount val="11"/>
                <c:pt idx="0">
                  <c:v>ERP</c:v>
                </c:pt>
                <c:pt idx="2">
                  <c:v>HMIS</c:v>
                </c:pt>
                <c:pt idx="3">
                  <c:v>AI/ML</c:v>
                </c:pt>
                <c:pt idx="4">
                  <c:v>Digital Agriculture </c:v>
                </c:pt>
                <c:pt idx="5">
                  <c:v>Simulators </c:v>
                </c:pt>
                <c:pt idx="6">
                  <c:v>Cloud Services</c:v>
                </c:pt>
                <c:pt idx="7">
                  <c:v>BFSI</c:v>
                </c:pt>
                <c:pt idx="8">
                  <c:v>DRDO Projects</c:v>
                </c:pt>
                <c:pt idx="10">
                  <c:v>B2B Projects</c:v>
                </c:pt>
              </c:strCache>
            </c:strRef>
          </c:cat>
          <c:val>
            <c:numRef>
              <c:f>Sheet6!$C$3:$C$13</c:f>
              <c:numCache>
                <c:formatCode>General</c:formatCode>
                <c:ptCount val="11"/>
                <c:pt idx="0">
                  <c:v>4505</c:v>
                </c:pt>
                <c:pt idx="2">
                  <c:v>2083</c:v>
                </c:pt>
                <c:pt idx="3">
                  <c:v>1530</c:v>
                </c:pt>
                <c:pt idx="4">
                  <c:v>2210</c:v>
                </c:pt>
                <c:pt idx="5">
                  <c:v>1190</c:v>
                </c:pt>
                <c:pt idx="6">
                  <c:v>1445</c:v>
                </c:pt>
                <c:pt idx="7">
                  <c:v>3139</c:v>
                </c:pt>
                <c:pt idx="8">
                  <c:v>1804</c:v>
                </c:pt>
                <c:pt idx="10">
                  <c:v>2970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358-4E4D-9E6F-D63F1F1D6DCF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-1.6299918500407497E-3"/>
                  <c:y val="-3.02287022306355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58-4E4D-9E6F-D63F1F1D6DCF}"/>
                </c:ext>
              </c:extLst>
            </c:dLbl>
            <c:dLbl>
              <c:idx val="1"/>
              <c:layout>
                <c:manualLayout>
                  <c:x val="0"/>
                  <c:y val="-4.845157782387175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58-4E4D-9E6F-D63F1F1D6DCF}"/>
                </c:ext>
              </c:extLst>
            </c:dLbl>
            <c:dLbl>
              <c:idx val="12"/>
              <c:layout>
                <c:manualLayout>
                  <c:x val="0"/>
                  <c:y val="-5.87343845446429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58-4E4D-9E6F-D63F1F1D6D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2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Sheet6!$B$3:$B$13</c:f>
              <c:strCache>
                <c:ptCount val="11"/>
                <c:pt idx="0">
                  <c:v>ERP</c:v>
                </c:pt>
                <c:pt idx="2">
                  <c:v>HMIS</c:v>
                </c:pt>
                <c:pt idx="3">
                  <c:v>AI/ML</c:v>
                </c:pt>
                <c:pt idx="4">
                  <c:v>Digital Agriculture </c:v>
                </c:pt>
                <c:pt idx="5">
                  <c:v>Simulators </c:v>
                </c:pt>
                <c:pt idx="6">
                  <c:v>Cloud Services</c:v>
                </c:pt>
                <c:pt idx="7">
                  <c:v>BFSI</c:v>
                </c:pt>
                <c:pt idx="8">
                  <c:v>DRDO Projects</c:v>
                </c:pt>
                <c:pt idx="10">
                  <c:v>B2B Projects</c:v>
                </c:pt>
              </c:strCache>
            </c:strRef>
          </c:cat>
          <c:val>
            <c:numRef>
              <c:f>Sheet6!$D$3:$D$13</c:f>
              <c:numCache>
                <c:formatCode>General</c:formatCode>
                <c:ptCount val="11"/>
                <c:pt idx="0">
                  <c:v>530</c:v>
                </c:pt>
                <c:pt idx="2">
                  <c:v>245</c:v>
                </c:pt>
                <c:pt idx="3">
                  <c:v>180</c:v>
                </c:pt>
                <c:pt idx="4">
                  <c:v>260</c:v>
                </c:pt>
                <c:pt idx="5">
                  <c:v>140</c:v>
                </c:pt>
                <c:pt idx="6">
                  <c:v>170</c:v>
                </c:pt>
                <c:pt idx="7">
                  <c:v>365</c:v>
                </c:pt>
                <c:pt idx="8">
                  <c:v>205</c:v>
                </c:pt>
                <c:pt idx="10">
                  <c:v>330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Sheet6!#REF!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A358-4E4D-9E6F-D63F1F1D6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32141440"/>
        <c:axId val="132142976"/>
      </c:barChart>
      <c:catAx>
        <c:axId val="132141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2142976"/>
        <c:crosses val="autoZero"/>
        <c:auto val="1"/>
        <c:lblAlgn val="ctr"/>
        <c:lblOffset val="100"/>
        <c:noMultiLvlLbl val="0"/>
      </c:catAx>
      <c:valAx>
        <c:axId val="132142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  <a:alpha val="4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3214144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Overall Obtainable by BEL  (2025-2030) 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Sheet7!$C$1:$C$3</c:f>
              <c:strCache>
                <c:ptCount val="3"/>
                <c:pt idx="0">
                  <c:v>Overall Obtainable by BEL </c:v>
                </c:pt>
                <c:pt idx="1">
                  <c:v>(2025-2030)</c:v>
                </c:pt>
                <c:pt idx="2">
                  <c:v>Value in Crores</c:v>
                </c:pt>
              </c:strCache>
            </c:strRef>
          </c:tx>
          <c:dLbls>
            <c:spPr>
              <a:ln>
                <a:solidFill>
                  <a:schemeClr val="tx1"/>
                </a:solidFill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Sheet7!$B$4:$B$14</c:f>
              <c:strCache>
                <c:ptCount val="11"/>
                <c:pt idx="0">
                  <c:v>Digital Identity/Blockchain</c:v>
                </c:pt>
                <c:pt idx="1">
                  <c:v>AI/ML</c:v>
                </c:pt>
                <c:pt idx="2">
                  <c:v>Defence Projects</c:v>
                </c:pt>
                <c:pt idx="3">
                  <c:v>ERP</c:v>
                </c:pt>
                <c:pt idx="4">
                  <c:v>BFSI</c:v>
                </c:pt>
                <c:pt idx="5">
                  <c:v>Digital Agriculture </c:v>
                </c:pt>
                <c:pt idx="6">
                  <c:v>B2B Projects</c:v>
                </c:pt>
                <c:pt idx="7">
                  <c:v>HMIS</c:v>
                </c:pt>
                <c:pt idx="8">
                  <c:v>DRDO Projects</c:v>
                </c:pt>
                <c:pt idx="9">
                  <c:v>Cloud Services(MSP)</c:v>
                </c:pt>
                <c:pt idx="10">
                  <c:v>Simulation Platforms</c:v>
                </c:pt>
              </c:strCache>
            </c:strRef>
          </c:cat>
          <c:val>
            <c:numRef>
              <c:f>Sheet7!$C$4:$C$14</c:f>
              <c:numCache>
                <c:formatCode>General</c:formatCode>
                <c:ptCount val="11"/>
                <c:pt idx="0">
                  <c:v>745</c:v>
                </c:pt>
                <c:pt idx="1">
                  <c:v>590</c:v>
                </c:pt>
                <c:pt idx="2">
                  <c:v>535</c:v>
                </c:pt>
                <c:pt idx="3">
                  <c:v>530</c:v>
                </c:pt>
                <c:pt idx="4">
                  <c:v>365</c:v>
                </c:pt>
                <c:pt idx="5">
                  <c:v>360</c:v>
                </c:pt>
                <c:pt idx="6">
                  <c:v>330</c:v>
                </c:pt>
                <c:pt idx="7">
                  <c:v>245</c:v>
                </c:pt>
                <c:pt idx="8">
                  <c:v>205</c:v>
                </c:pt>
                <c:pt idx="9">
                  <c:v>170</c:v>
                </c:pt>
                <c:pt idx="1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C-463C-8F1C-ACC3407C6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11</xdr:row>
      <xdr:rowOff>166687</xdr:rowOff>
    </xdr:from>
    <xdr:to>
      <xdr:col>11</xdr:col>
      <xdr:colOff>0</xdr:colOff>
      <xdr:row>26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29</xdr:row>
      <xdr:rowOff>104775</xdr:rowOff>
    </xdr:from>
    <xdr:to>
      <xdr:col>8</xdr:col>
      <xdr:colOff>352425</xdr:colOff>
      <xdr:row>45</xdr:row>
      <xdr:rowOff>48381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395286</xdr:colOff>
      <xdr:row>3</xdr:row>
      <xdr:rowOff>647700</xdr:rowOff>
    </xdr:from>
    <xdr:to>
      <xdr:col>21</xdr:col>
      <xdr:colOff>609599</xdr:colOff>
      <xdr:row>11</xdr:row>
      <xdr:rowOff>471487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11E2C-1CC2-4461-8022-8459010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500061</xdr:colOff>
      <xdr:row>9</xdr:row>
      <xdr:rowOff>166685</xdr:rowOff>
    </xdr:from>
    <xdr:to>
      <xdr:col>11</xdr:col>
      <xdr:colOff>9524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C0B98-F3F8-4161-A6C7-99119BAC3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214312</xdr:colOff>
      <xdr:row>19</xdr:row>
      <xdr:rowOff>119062</xdr:rowOff>
    </xdr:from>
    <xdr:to>
      <xdr:col>13</xdr:col>
      <xdr:colOff>133350</xdr:colOff>
      <xdr:row>38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397AF-94E9-4DED-B7EE-C5328A702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7</xdr:row>
      <xdr:rowOff>57150</xdr:rowOff>
    </xdr:from>
    <xdr:to>
      <xdr:col>22</xdr:col>
      <xdr:colOff>285750</xdr:colOff>
      <xdr:row>23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5</xdr:row>
      <xdr:rowOff>85725</xdr:rowOff>
    </xdr:from>
    <xdr:to>
      <xdr:col>19</xdr:col>
      <xdr:colOff>361950</xdr:colOff>
      <xdr:row>12</xdr:row>
      <xdr:rowOff>638175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10</xdr:row>
      <xdr:rowOff>647700</xdr:rowOff>
    </xdr:from>
    <xdr:to>
      <xdr:col>20</xdr:col>
      <xdr:colOff>409575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G4" sqref="G4"/>
    </sheetView>
  </sheetViews>
  <sheetFormatPr defaultRowHeight="14.4" x14ac:dyDescent="0.3"/>
  <cols>
    <col min="1" max="1" width="6.109375" bestFit="1" customWidth="1"/>
    <col min="2" max="2" width="16.33203125" customWidth="1"/>
    <col min="3" max="3" width="10.44140625" customWidth="1"/>
    <col min="4" max="4" width="9.5546875" bestFit="1" customWidth="1"/>
    <col min="5" max="5" width="6.77734375" customWidth="1"/>
    <col min="6" max="6" width="8.21875" customWidth="1"/>
    <col min="7" max="7" width="22.33203125" bestFit="1" customWidth="1"/>
  </cols>
  <sheetData>
    <row r="1" spans="1:7" ht="19.2" x14ac:dyDescent="0.3">
      <c r="A1" s="116" t="s">
        <v>0</v>
      </c>
      <c r="B1" s="116" t="s">
        <v>1</v>
      </c>
      <c r="C1" s="48" t="s">
        <v>2</v>
      </c>
      <c r="D1" s="116" t="s">
        <v>3</v>
      </c>
      <c r="E1" s="116" t="s">
        <v>53</v>
      </c>
      <c r="F1" s="114" t="s">
        <v>54</v>
      </c>
      <c r="G1" s="114" t="s">
        <v>55</v>
      </c>
    </row>
    <row r="2" spans="1:7" ht="19.8" thickBot="1" x14ac:dyDescent="0.35">
      <c r="A2" s="117"/>
      <c r="B2" s="117"/>
      <c r="C2" s="49" t="s">
        <v>52</v>
      </c>
      <c r="D2" s="117"/>
      <c r="E2" s="117"/>
      <c r="F2" s="115"/>
      <c r="G2" s="115"/>
    </row>
    <row r="3" spans="1:7" ht="34.200000000000003" thickBot="1" x14ac:dyDescent="0.35">
      <c r="A3" s="1">
        <v>1</v>
      </c>
      <c r="B3" s="2" t="s">
        <v>4</v>
      </c>
      <c r="C3" s="1">
        <v>3</v>
      </c>
      <c r="D3" s="1">
        <v>2</v>
      </c>
      <c r="E3" s="1">
        <v>3</v>
      </c>
      <c r="F3" s="1">
        <v>2</v>
      </c>
      <c r="G3" s="1">
        <v>6.5</v>
      </c>
    </row>
    <row r="4" spans="1:7" ht="34.200000000000003" thickBot="1" x14ac:dyDescent="0.35">
      <c r="A4" s="3">
        <v>2</v>
      </c>
      <c r="B4" s="4" t="s">
        <v>5</v>
      </c>
      <c r="C4" s="3">
        <v>9</v>
      </c>
      <c r="D4" s="3">
        <v>5</v>
      </c>
      <c r="E4" s="3">
        <v>9</v>
      </c>
      <c r="F4" s="3">
        <v>5</v>
      </c>
      <c r="G4" s="50">
        <v>44</v>
      </c>
    </row>
    <row r="5" spans="1:7" ht="34.200000000000003" thickBot="1" x14ac:dyDescent="0.35">
      <c r="A5" s="5">
        <v>3</v>
      </c>
      <c r="B5" s="6" t="s">
        <v>6</v>
      </c>
      <c r="C5" s="5">
        <v>2</v>
      </c>
      <c r="D5" s="5">
        <v>0</v>
      </c>
      <c r="E5" s="5">
        <v>2</v>
      </c>
      <c r="F5" s="5">
        <v>0</v>
      </c>
      <c r="G5" s="51">
        <v>71</v>
      </c>
    </row>
    <row r="6" spans="1:7" ht="34.200000000000003" thickBot="1" x14ac:dyDescent="0.35">
      <c r="A6" s="3">
        <v>4</v>
      </c>
      <c r="B6" s="4" t="s">
        <v>7</v>
      </c>
      <c r="C6" s="3">
        <v>8</v>
      </c>
      <c r="D6" s="3">
        <v>0</v>
      </c>
      <c r="E6" s="3">
        <v>7</v>
      </c>
      <c r="F6" s="3">
        <v>1</v>
      </c>
      <c r="G6" s="50">
        <v>105</v>
      </c>
    </row>
    <row r="7" spans="1:7" ht="34.200000000000003" thickBot="1" x14ac:dyDescent="0.35">
      <c r="A7" s="5">
        <v>5</v>
      </c>
      <c r="B7" s="6" t="s">
        <v>8</v>
      </c>
      <c r="C7" s="5">
        <v>12</v>
      </c>
      <c r="D7" s="5">
        <v>2</v>
      </c>
      <c r="E7" s="5">
        <v>13</v>
      </c>
      <c r="F7" s="5">
        <v>2</v>
      </c>
      <c r="G7" s="51">
        <v>142</v>
      </c>
    </row>
    <row r="8" spans="1:7" ht="34.200000000000003" thickBot="1" x14ac:dyDescent="0.35">
      <c r="A8" s="3">
        <v>6</v>
      </c>
      <c r="B8" s="4" t="s">
        <v>9</v>
      </c>
      <c r="C8" s="3">
        <v>4</v>
      </c>
      <c r="D8" s="3">
        <v>1</v>
      </c>
      <c r="E8" s="3">
        <v>4</v>
      </c>
      <c r="F8" s="3">
        <v>0</v>
      </c>
      <c r="G8" s="50">
        <v>32</v>
      </c>
    </row>
    <row r="9" spans="1:7" ht="23.4" thickBot="1" x14ac:dyDescent="0.35">
      <c r="A9" s="52"/>
      <c r="B9" s="53" t="s">
        <v>30</v>
      </c>
      <c r="C9" s="54">
        <v>38</v>
      </c>
      <c r="D9" s="54">
        <v>10</v>
      </c>
      <c r="E9" s="54">
        <v>38</v>
      </c>
      <c r="F9" s="54">
        <v>10</v>
      </c>
      <c r="G9" s="52">
        <f>SUM(G3:G8)</f>
        <v>400.5</v>
      </c>
    </row>
  </sheetData>
  <mergeCells count="6">
    <mergeCell ref="G1:G2"/>
    <mergeCell ref="A1:A2"/>
    <mergeCell ref="B1:B2"/>
    <mergeCell ref="D1:D2"/>
    <mergeCell ref="E1:E2"/>
    <mergeCell ref="F1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opLeftCell="A10" workbookViewId="0">
      <selection activeCell="G14" sqref="G14"/>
    </sheetView>
  </sheetViews>
  <sheetFormatPr defaultRowHeight="14.4" x14ac:dyDescent="0.3"/>
  <cols>
    <col min="1" max="1" width="8.109375" bestFit="1" customWidth="1"/>
    <col min="2" max="2" width="24.5546875" customWidth="1"/>
  </cols>
  <sheetData>
    <row r="1" spans="1:7" ht="52.8" thickBot="1" x14ac:dyDescent="0.35">
      <c r="A1" s="118" t="s">
        <v>10</v>
      </c>
      <c r="B1" s="120" t="s">
        <v>11</v>
      </c>
      <c r="C1" s="7" t="s">
        <v>12</v>
      </c>
      <c r="D1" s="7" t="s">
        <v>12</v>
      </c>
      <c r="E1" s="7" t="s">
        <v>12</v>
      </c>
      <c r="F1" s="7" t="s">
        <v>12</v>
      </c>
      <c r="G1" s="8" t="s">
        <v>12</v>
      </c>
    </row>
    <row r="2" spans="1:7" ht="37.799999999999997" thickBot="1" x14ac:dyDescent="0.35">
      <c r="A2" s="119"/>
      <c r="B2" s="121"/>
      <c r="C2" s="9" t="s">
        <v>13</v>
      </c>
      <c r="D2" s="9" t="s">
        <v>14</v>
      </c>
      <c r="E2" s="9" t="s">
        <v>15</v>
      </c>
      <c r="F2" s="9" t="s">
        <v>16</v>
      </c>
      <c r="G2" s="10" t="s">
        <v>17</v>
      </c>
    </row>
    <row r="3" spans="1:7" ht="21" thickBot="1" x14ac:dyDescent="0.35">
      <c r="A3" s="11">
        <v>1</v>
      </c>
      <c r="B3" s="12" t="s">
        <v>18</v>
      </c>
      <c r="C3" s="11">
        <v>35</v>
      </c>
      <c r="D3" s="11">
        <v>70</v>
      </c>
      <c r="E3" s="11">
        <v>100</v>
      </c>
      <c r="F3" s="11">
        <v>150</v>
      </c>
      <c r="G3" s="11">
        <v>175</v>
      </c>
    </row>
    <row r="4" spans="1:7" ht="82.2" thickBot="1" x14ac:dyDescent="0.35">
      <c r="A4" s="13">
        <v>2</v>
      </c>
      <c r="B4" s="81" t="s">
        <v>65</v>
      </c>
      <c r="C4" s="80">
        <v>100</v>
      </c>
      <c r="D4" s="80">
        <v>120</v>
      </c>
      <c r="E4" s="80">
        <v>150</v>
      </c>
      <c r="F4" s="80">
        <v>175</v>
      </c>
      <c r="G4" s="80">
        <v>200</v>
      </c>
    </row>
    <row r="5" spans="1:7" ht="21" thickBot="1" x14ac:dyDescent="0.35">
      <c r="A5" s="15">
        <v>3</v>
      </c>
      <c r="B5" s="81" t="s">
        <v>21</v>
      </c>
      <c r="C5" s="80">
        <v>25</v>
      </c>
      <c r="D5" s="80">
        <v>30</v>
      </c>
      <c r="E5" s="80">
        <v>40</v>
      </c>
      <c r="F5" s="80">
        <v>50</v>
      </c>
      <c r="G5" s="80">
        <v>100</v>
      </c>
    </row>
    <row r="6" spans="1:7" ht="21" thickBot="1" x14ac:dyDescent="0.35">
      <c r="A6" s="13">
        <v>4</v>
      </c>
      <c r="B6" s="82" t="s">
        <v>22</v>
      </c>
      <c r="C6" s="83">
        <v>40</v>
      </c>
      <c r="D6" s="83">
        <v>80</v>
      </c>
      <c r="E6" s="83">
        <v>120</v>
      </c>
      <c r="F6" s="83">
        <v>150</v>
      </c>
      <c r="G6" s="83">
        <v>200</v>
      </c>
    </row>
    <row r="7" spans="1:7" ht="21" thickBot="1" x14ac:dyDescent="0.5">
      <c r="A7" s="15">
        <v>5</v>
      </c>
      <c r="B7" s="82" t="s">
        <v>24</v>
      </c>
      <c r="C7" s="83">
        <v>5</v>
      </c>
      <c r="D7" s="83">
        <v>10</v>
      </c>
      <c r="E7" s="84">
        <v>15</v>
      </c>
      <c r="F7" s="84">
        <v>15</v>
      </c>
      <c r="G7" s="84">
        <v>15</v>
      </c>
    </row>
    <row r="8" spans="1:7" ht="61.8" thickBot="1" x14ac:dyDescent="0.35">
      <c r="A8" s="13">
        <v>6</v>
      </c>
      <c r="B8" s="81" t="s">
        <v>25</v>
      </c>
      <c r="C8" s="80">
        <v>10</v>
      </c>
      <c r="D8" s="80">
        <v>50</v>
      </c>
      <c r="E8" s="80">
        <v>80</v>
      </c>
      <c r="F8" s="80">
        <v>100</v>
      </c>
      <c r="G8" s="80">
        <v>120</v>
      </c>
    </row>
    <row r="9" spans="1:7" ht="82.2" thickBot="1" x14ac:dyDescent="0.5">
      <c r="A9" s="15">
        <v>7</v>
      </c>
      <c r="B9" s="82" t="s">
        <v>66</v>
      </c>
      <c r="C9" s="83">
        <v>15</v>
      </c>
      <c r="D9" s="83">
        <v>20</v>
      </c>
      <c r="E9" s="84">
        <v>25</v>
      </c>
      <c r="F9" s="84">
        <v>30</v>
      </c>
      <c r="G9" s="84">
        <v>50</v>
      </c>
    </row>
    <row r="10" spans="1:7" ht="82.2" thickBot="1" x14ac:dyDescent="0.35">
      <c r="A10" s="13">
        <v>8</v>
      </c>
      <c r="B10" s="81" t="s">
        <v>67</v>
      </c>
      <c r="C10" s="80">
        <v>15</v>
      </c>
      <c r="D10" s="80">
        <v>25</v>
      </c>
      <c r="E10" s="80">
        <v>30</v>
      </c>
      <c r="F10" s="80">
        <v>40</v>
      </c>
      <c r="G10" s="80">
        <v>60</v>
      </c>
    </row>
    <row r="11" spans="1:7" ht="21" thickBot="1" x14ac:dyDescent="0.5">
      <c r="A11" s="15">
        <v>9</v>
      </c>
      <c r="B11" s="82" t="s">
        <v>28</v>
      </c>
      <c r="C11" s="83">
        <v>10</v>
      </c>
      <c r="D11" s="84">
        <v>15</v>
      </c>
      <c r="E11" s="84">
        <v>40</v>
      </c>
      <c r="F11" s="84">
        <v>100</v>
      </c>
      <c r="G11" s="84">
        <v>200</v>
      </c>
    </row>
    <row r="12" spans="1:7" ht="61.8" thickBot="1" x14ac:dyDescent="0.5">
      <c r="A12" s="13">
        <v>10</v>
      </c>
      <c r="B12" s="81" t="s">
        <v>29</v>
      </c>
      <c r="C12" s="80">
        <v>20</v>
      </c>
      <c r="D12" s="85">
        <v>30</v>
      </c>
      <c r="E12" s="85">
        <v>40</v>
      </c>
      <c r="F12" s="85">
        <v>45</v>
      </c>
      <c r="G12" s="85">
        <v>70</v>
      </c>
    </row>
    <row r="13" spans="1:7" ht="82.2" thickBot="1" x14ac:dyDescent="0.5">
      <c r="A13" s="15">
        <v>11</v>
      </c>
      <c r="B13" s="81" t="s">
        <v>60</v>
      </c>
      <c r="C13" s="80">
        <v>100</v>
      </c>
      <c r="D13" s="85">
        <v>50</v>
      </c>
      <c r="E13" s="85">
        <v>75</v>
      </c>
      <c r="F13" s="85">
        <v>100</v>
      </c>
      <c r="G13" s="85">
        <v>150</v>
      </c>
    </row>
    <row r="14" spans="1:7" ht="61.8" thickBot="1" x14ac:dyDescent="0.5">
      <c r="A14" s="13">
        <v>12</v>
      </c>
      <c r="B14" s="81" t="s">
        <v>68</v>
      </c>
      <c r="C14" s="80" t="s">
        <v>69</v>
      </c>
      <c r="D14" s="85">
        <v>30</v>
      </c>
      <c r="E14" s="85">
        <v>50</v>
      </c>
      <c r="F14" s="85">
        <v>100</v>
      </c>
      <c r="G14" s="85">
        <v>150</v>
      </c>
    </row>
    <row r="15" spans="1:7" ht="21.6" thickBot="1" x14ac:dyDescent="0.35">
      <c r="A15" s="19"/>
      <c r="B15" s="20" t="s">
        <v>30</v>
      </c>
      <c r="C15" s="21">
        <f>SUM(C3:C14)</f>
        <v>375</v>
      </c>
      <c r="D15" s="21">
        <f>SUM(D3:D14)</f>
        <v>530</v>
      </c>
      <c r="E15" s="21">
        <f>SUM(E3:E14)</f>
        <v>765</v>
      </c>
      <c r="F15" s="21">
        <f>SUM(F3:F14)</f>
        <v>1055</v>
      </c>
      <c r="G15" s="21">
        <f>SUM(G3:G14)</f>
        <v>1490</v>
      </c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4" x14ac:dyDescent="0.3"/>
  <cols>
    <col min="2" max="2" width="49.44140625" customWidth="1"/>
  </cols>
  <sheetData>
    <row r="1" spans="1:8" ht="42.6" thickBot="1" x14ac:dyDescent="0.35">
      <c r="A1" s="22" t="s">
        <v>31</v>
      </c>
      <c r="B1" s="22" t="s">
        <v>32</v>
      </c>
      <c r="C1" s="22" t="s">
        <v>33</v>
      </c>
      <c r="D1" s="22" t="s">
        <v>34</v>
      </c>
      <c r="E1" s="22" t="s">
        <v>35</v>
      </c>
      <c r="F1" s="22" t="s">
        <v>36</v>
      </c>
      <c r="G1" s="22" t="s">
        <v>37</v>
      </c>
      <c r="H1" s="22" t="s">
        <v>38</v>
      </c>
    </row>
    <row r="2" spans="1:8" ht="49.8" thickBot="1" x14ac:dyDescent="0.35">
      <c r="A2" s="23">
        <v>1</v>
      </c>
      <c r="B2" s="24" t="s">
        <v>39</v>
      </c>
      <c r="C2" s="25">
        <v>140</v>
      </c>
      <c r="D2" s="25">
        <v>150</v>
      </c>
      <c r="E2" s="25">
        <v>170</v>
      </c>
      <c r="F2" s="25">
        <v>200</v>
      </c>
      <c r="G2" s="25">
        <v>230</v>
      </c>
      <c r="H2" s="25">
        <v>300</v>
      </c>
    </row>
    <row r="3" spans="1:8" ht="25.2" thickBot="1" x14ac:dyDescent="0.35">
      <c r="A3" s="26">
        <v>2</v>
      </c>
      <c r="B3" s="27" t="s">
        <v>40</v>
      </c>
      <c r="C3" s="28">
        <v>10</v>
      </c>
      <c r="D3" s="28" t="s">
        <v>41</v>
      </c>
      <c r="E3" s="28" t="s">
        <v>42</v>
      </c>
      <c r="F3" s="28" t="s">
        <v>43</v>
      </c>
      <c r="G3" s="28">
        <v>35</v>
      </c>
      <c r="H3" s="28">
        <v>40</v>
      </c>
    </row>
    <row r="4" spans="1:8" ht="25.2" thickBot="1" x14ac:dyDescent="0.35">
      <c r="A4" s="29">
        <v>3</v>
      </c>
      <c r="B4" s="30" t="s">
        <v>44</v>
      </c>
      <c r="C4" s="31">
        <v>5</v>
      </c>
      <c r="D4" s="31">
        <v>10</v>
      </c>
      <c r="E4" s="31">
        <v>20</v>
      </c>
      <c r="F4" s="31">
        <v>40</v>
      </c>
      <c r="G4" s="31">
        <v>85</v>
      </c>
      <c r="H4" s="31">
        <v>160</v>
      </c>
    </row>
    <row r="5" spans="1:8" ht="25.2" thickBot="1" x14ac:dyDescent="0.35">
      <c r="A5" s="26"/>
      <c r="B5" s="32" t="s">
        <v>45</v>
      </c>
      <c r="C5" s="33">
        <v>155</v>
      </c>
      <c r="D5" s="33">
        <v>160</v>
      </c>
      <c r="E5" s="33">
        <v>190</v>
      </c>
      <c r="F5" s="33">
        <v>240</v>
      </c>
      <c r="G5" s="33">
        <v>350</v>
      </c>
      <c r="H5" s="33">
        <v>500</v>
      </c>
    </row>
    <row r="6" spans="1:8" ht="25.2" thickBot="1" x14ac:dyDescent="0.35">
      <c r="A6" s="31"/>
      <c r="B6" s="34" t="s">
        <v>46</v>
      </c>
      <c r="C6" s="35">
        <v>18.5</v>
      </c>
      <c r="D6" s="35">
        <v>18.8</v>
      </c>
      <c r="E6" s="35">
        <v>22.3</v>
      </c>
      <c r="F6" s="35">
        <v>28.2</v>
      </c>
      <c r="G6" s="36">
        <v>41.8</v>
      </c>
      <c r="H6" s="36">
        <v>59.6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topLeftCell="A50" workbookViewId="0">
      <selection activeCell="C55" sqref="C55"/>
    </sheetView>
  </sheetViews>
  <sheetFormatPr defaultRowHeight="14.4" x14ac:dyDescent="0.3"/>
  <cols>
    <col min="2" max="2" width="21.6640625" customWidth="1"/>
    <col min="3" max="5" width="8.109375" bestFit="1" customWidth="1"/>
    <col min="7" max="8" width="8.109375" bestFit="1" customWidth="1"/>
  </cols>
  <sheetData>
    <row r="1" spans="1:8" ht="35.4" thickBot="1" x14ac:dyDescent="0.35">
      <c r="A1" s="37" t="s">
        <v>47</v>
      </c>
      <c r="B1" s="37" t="s">
        <v>48</v>
      </c>
      <c r="C1" s="37" t="s">
        <v>33</v>
      </c>
      <c r="D1" s="37" t="s">
        <v>34</v>
      </c>
      <c r="E1" s="37" t="s">
        <v>35</v>
      </c>
      <c r="F1" s="37" t="s">
        <v>49</v>
      </c>
      <c r="G1" s="37" t="s">
        <v>37</v>
      </c>
      <c r="H1" s="37" t="s">
        <v>38</v>
      </c>
    </row>
    <row r="2" spans="1:8" ht="39" thickBot="1" x14ac:dyDescent="0.35">
      <c r="A2" s="38">
        <v>1</v>
      </c>
      <c r="B2" s="39" t="s">
        <v>50</v>
      </c>
      <c r="C2" s="40">
        <v>1220</v>
      </c>
      <c r="D2" s="83">
        <v>320</v>
      </c>
      <c r="E2" s="83">
        <v>500</v>
      </c>
      <c r="F2" s="83">
        <v>720</v>
      </c>
      <c r="G2" s="83">
        <v>1020</v>
      </c>
      <c r="H2" s="83">
        <v>1485</v>
      </c>
    </row>
    <row r="3" spans="1:8" ht="19.8" thickBot="1" x14ac:dyDescent="0.35">
      <c r="A3" s="41">
        <v>2</v>
      </c>
      <c r="B3" s="42" t="s">
        <v>51</v>
      </c>
      <c r="C3" s="43">
        <v>155</v>
      </c>
      <c r="D3" s="43">
        <v>160</v>
      </c>
      <c r="E3" s="43">
        <v>190</v>
      </c>
      <c r="F3" s="43">
        <v>240</v>
      </c>
      <c r="G3" s="44">
        <v>350</v>
      </c>
      <c r="H3" s="44">
        <v>500</v>
      </c>
    </row>
    <row r="4" spans="1:8" ht="23.4" thickBot="1" x14ac:dyDescent="0.35">
      <c r="A4" s="45"/>
      <c r="B4" s="46" t="s">
        <v>30</v>
      </c>
      <c r="C4" s="47">
        <v>1375</v>
      </c>
      <c r="D4" s="47">
        <f>SUM(D2:D3)</f>
        <v>480</v>
      </c>
      <c r="E4" s="47">
        <f>SUM(E2:E3)</f>
        <v>690</v>
      </c>
      <c r="F4" s="47">
        <f>SUM(F2:F3)</f>
        <v>960</v>
      </c>
      <c r="G4" s="47">
        <f>SUM(G2:G3)</f>
        <v>1370</v>
      </c>
      <c r="H4" s="47">
        <f>SUM(H2:H3)</f>
        <v>1985</v>
      </c>
    </row>
    <row r="5" spans="1:8" x14ac:dyDescent="0.3">
      <c r="D5">
        <f>D2/2</f>
        <v>160</v>
      </c>
      <c r="E5">
        <f t="shared" ref="E5:H5" si="0">E2/2</f>
        <v>250</v>
      </c>
      <c r="F5">
        <f t="shared" si="0"/>
        <v>360</v>
      </c>
      <c r="G5">
        <f t="shared" si="0"/>
        <v>510</v>
      </c>
      <c r="H5">
        <f t="shared" si="0"/>
        <v>742.5</v>
      </c>
    </row>
    <row r="6" spans="1:8" x14ac:dyDescent="0.3">
      <c r="D6">
        <f>D3/2</f>
        <v>80</v>
      </c>
      <c r="E6">
        <f t="shared" ref="E6:H6" si="1">E3/2</f>
        <v>95</v>
      </c>
      <c r="F6">
        <f t="shared" si="1"/>
        <v>120</v>
      </c>
      <c r="G6">
        <f t="shared" si="1"/>
        <v>175</v>
      </c>
      <c r="H6">
        <f t="shared" si="1"/>
        <v>250</v>
      </c>
    </row>
    <row r="7" spans="1:8" x14ac:dyDescent="0.3">
      <c r="D7">
        <f>SUM(D5:D6)</f>
        <v>240</v>
      </c>
      <c r="E7">
        <f t="shared" ref="E7:H7" si="2">SUM(E5:E6)</f>
        <v>345</v>
      </c>
      <c r="F7">
        <f t="shared" si="2"/>
        <v>480</v>
      </c>
      <c r="G7">
        <f t="shared" si="2"/>
        <v>685</v>
      </c>
      <c r="H7">
        <f t="shared" si="2"/>
        <v>992.5</v>
      </c>
    </row>
    <row r="53" spans="1:8" ht="15" thickBot="1" x14ac:dyDescent="0.35"/>
    <row r="54" spans="1:8" ht="49.8" thickBot="1" x14ac:dyDescent="0.35">
      <c r="A54" s="100" t="s">
        <v>71</v>
      </c>
      <c r="B54" s="100" t="s">
        <v>32</v>
      </c>
      <c r="C54" s="100" t="s">
        <v>33</v>
      </c>
      <c r="D54" s="100" t="s">
        <v>34</v>
      </c>
      <c r="E54" s="100" t="s">
        <v>35</v>
      </c>
      <c r="F54" s="100" t="s">
        <v>36</v>
      </c>
      <c r="G54" s="100" t="s">
        <v>37</v>
      </c>
      <c r="H54" s="100" t="s">
        <v>38</v>
      </c>
    </row>
    <row r="55" spans="1:8" ht="51" thickBot="1" x14ac:dyDescent="0.35">
      <c r="A55" s="101">
        <v>1</v>
      </c>
      <c r="B55" s="105" t="s">
        <v>39</v>
      </c>
      <c r="C55" s="102">
        <v>16.5</v>
      </c>
      <c r="D55" s="102">
        <v>17.7</v>
      </c>
      <c r="E55" s="102">
        <v>20.100000000000001</v>
      </c>
      <c r="F55" s="102">
        <v>23.7</v>
      </c>
      <c r="G55" s="102">
        <v>27.2</v>
      </c>
      <c r="H55" s="102">
        <v>35.5</v>
      </c>
    </row>
    <row r="56" spans="1:8" ht="16.5" customHeight="1" thickBot="1" x14ac:dyDescent="0.35">
      <c r="A56" s="109">
        <v>2</v>
      </c>
      <c r="B56" s="106" t="s">
        <v>75</v>
      </c>
      <c r="C56" s="110">
        <v>1.1000000000000001</v>
      </c>
      <c r="D56" s="111" t="s">
        <v>72</v>
      </c>
      <c r="E56" s="111" t="s">
        <v>73</v>
      </c>
      <c r="F56" s="111" t="s">
        <v>74</v>
      </c>
      <c r="G56" s="110">
        <v>4.0999999999999996</v>
      </c>
      <c r="H56" s="110">
        <v>4.7</v>
      </c>
    </row>
    <row r="57" spans="1:8" ht="16.5" customHeight="1" thickBot="1" x14ac:dyDescent="0.35">
      <c r="A57" s="113">
        <v>3</v>
      </c>
      <c r="B57" s="107" t="s">
        <v>76</v>
      </c>
      <c r="C57" s="112">
        <v>0.5</v>
      </c>
      <c r="D57" s="112">
        <v>1.1000000000000001</v>
      </c>
      <c r="E57" s="112">
        <v>2.2999999999999998</v>
      </c>
      <c r="F57" s="112">
        <v>4.7</v>
      </c>
      <c r="G57" s="112">
        <v>10.07</v>
      </c>
      <c r="H57" s="112">
        <v>18.899999999999999</v>
      </c>
    </row>
    <row r="58" spans="1:8" ht="25.2" thickBot="1" x14ac:dyDescent="0.35">
      <c r="A58" s="103"/>
      <c r="B58" s="108" t="s">
        <v>46</v>
      </c>
      <c r="C58" s="104">
        <f t="shared" ref="C58:H58" si="3">SUM(C55:C57)</f>
        <v>18.100000000000001</v>
      </c>
      <c r="D58" s="104">
        <f t="shared" si="3"/>
        <v>18.8</v>
      </c>
      <c r="E58" s="104">
        <f t="shared" si="3"/>
        <v>22.400000000000002</v>
      </c>
      <c r="F58" s="104">
        <f t="shared" si="3"/>
        <v>28.4</v>
      </c>
      <c r="G58" s="104">
        <f t="shared" si="3"/>
        <v>41.37</v>
      </c>
      <c r="H58" s="104">
        <f t="shared" si="3"/>
        <v>59.1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activeCell="E10" sqref="E10"/>
    </sheetView>
  </sheetViews>
  <sheetFormatPr defaultRowHeight="14.4" x14ac:dyDescent="0.3"/>
  <cols>
    <col min="1" max="1" width="7.6640625" bestFit="1" customWidth="1"/>
    <col min="2" max="2" width="14.6640625" customWidth="1"/>
    <col min="3" max="3" width="13.88671875" customWidth="1"/>
    <col min="4" max="4" width="13.109375" customWidth="1"/>
  </cols>
  <sheetData>
    <row r="1" spans="1:5" ht="46.5" customHeight="1" x14ac:dyDescent="0.3">
      <c r="A1" s="64" t="s">
        <v>10</v>
      </c>
      <c r="B1" s="64" t="s">
        <v>56</v>
      </c>
      <c r="C1" s="68" t="s">
        <v>57</v>
      </c>
      <c r="D1" s="68" t="s">
        <v>58</v>
      </c>
      <c r="E1" s="64" t="s">
        <v>59</v>
      </c>
    </row>
    <row r="2" spans="1:5" ht="21" thickBot="1" x14ac:dyDescent="0.35">
      <c r="A2" s="65">
        <v>1</v>
      </c>
      <c r="B2" s="66" t="s">
        <v>18</v>
      </c>
      <c r="C2" s="67">
        <v>4505</v>
      </c>
      <c r="D2" s="67">
        <f t="shared" ref="D2:D14" si="0">C2/2</f>
        <v>2252.5</v>
      </c>
      <c r="E2" s="65">
        <v>530</v>
      </c>
    </row>
    <row r="3" spans="1:5" ht="39" thickBot="1" x14ac:dyDescent="0.35">
      <c r="A3" s="56">
        <v>2</v>
      </c>
      <c r="B3" s="57" t="s">
        <v>19</v>
      </c>
      <c r="C3" s="13">
        <v>8550</v>
      </c>
      <c r="D3" s="13">
        <f t="shared" si="0"/>
        <v>4275</v>
      </c>
      <c r="E3" s="56">
        <v>1140</v>
      </c>
    </row>
    <row r="4" spans="1:5" ht="21" thickBot="1" x14ac:dyDescent="0.35">
      <c r="A4" s="58">
        <v>3</v>
      </c>
      <c r="B4" s="59" t="s">
        <v>20</v>
      </c>
      <c r="C4" s="15">
        <v>570</v>
      </c>
      <c r="D4" s="15">
        <f t="shared" si="0"/>
        <v>285</v>
      </c>
      <c r="E4" s="58">
        <v>60</v>
      </c>
    </row>
    <row r="5" spans="1:5" ht="21" thickBot="1" x14ac:dyDescent="0.35">
      <c r="A5" s="56">
        <v>4</v>
      </c>
      <c r="B5" s="57" t="s">
        <v>21</v>
      </c>
      <c r="C5" s="13">
        <v>2083</v>
      </c>
      <c r="D5" s="13">
        <f t="shared" si="0"/>
        <v>1041.5</v>
      </c>
      <c r="E5" s="56">
        <v>245</v>
      </c>
    </row>
    <row r="6" spans="1:5" ht="21" thickBot="1" x14ac:dyDescent="0.35">
      <c r="A6" s="58">
        <v>5</v>
      </c>
      <c r="B6" s="59" t="s">
        <v>22</v>
      </c>
      <c r="C6" s="15">
        <v>1530</v>
      </c>
      <c r="D6" s="15">
        <f t="shared" si="0"/>
        <v>765</v>
      </c>
      <c r="E6" s="58">
        <v>180</v>
      </c>
    </row>
    <row r="7" spans="1:5" ht="21" thickBot="1" x14ac:dyDescent="0.35">
      <c r="A7" s="56">
        <v>6</v>
      </c>
      <c r="B7" s="57" t="s">
        <v>23</v>
      </c>
      <c r="C7" s="13">
        <v>588</v>
      </c>
      <c r="D7" s="13">
        <f t="shared" si="0"/>
        <v>294</v>
      </c>
      <c r="E7" s="56">
        <v>60</v>
      </c>
    </row>
    <row r="8" spans="1:5" ht="21" thickBot="1" x14ac:dyDescent="0.35">
      <c r="A8" s="58">
        <v>7</v>
      </c>
      <c r="B8" s="59" t="s">
        <v>24</v>
      </c>
      <c r="C8" s="15">
        <v>558</v>
      </c>
      <c r="D8" s="15">
        <f t="shared" si="0"/>
        <v>279</v>
      </c>
      <c r="E8" s="58">
        <v>60</v>
      </c>
    </row>
    <row r="9" spans="1:5" ht="39" thickBot="1" x14ac:dyDescent="0.35">
      <c r="A9" s="56">
        <v>8</v>
      </c>
      <c r="B9" s="57" t="s">
        <v>25</v>
      </c>
      <c r="C9" s="13">
        <v>2210</v>
      </c>
      <c r="D9" s="13">
        <f t="shared" si="0"/>
        <v>1105</v>
      </c>
      <c r="E9" s="56">
        <v>260</v>
      </c>
    </row>
    <row r="10" spans="1:5" ht="21" thickBot="1" x14ac:dyDescent="0.35">
      <c r="A10" s="58">
        <v>9</v>
      </c>
      <c r="B10" s="59" t="s">
        <v>26</v>
      </c>
      <c r="C10" s="15">
        <v>1190</v>
      </c>
      <c r="D10" s="15">
        <f t="shared" si="0"/>
        <v>595</v>
      </c>
      <c r="E10" s="58">
        <v>140</v>
      </c>
    </row>
    <row r="11" spans="1:5" ht="39" thickBot="1" x14ac:dyDescent="0.35">
      <c r="A11" s="56">
        <v>10</v>
      </c>
      <c r="B11" s="57" t="s">
        <v>27</v>
      </c>
      <c r="C11" s="13">
        <v>1445</v>
      </c>
      <c r="D11" s="13">
        <f t="shared" si="0"/>
        <v>722.5</v>
      </c>
      <c r="E11" s="56">
        <v>170</v>
      </c>
    </row>
    <row r="12" spans="1:5" ht="21" thickBot="1" x14ac:dyDescent="0.35">
      <c r="A12" s="58">
        <v>11</v>
      </c>
      <c r="B12" s="59" t="s">
        <v>28</v>
      </c>
      <c r="C12" s="15">
        <v>3139</v>
      </c>
      <c r="D12" s="15">
        <f t="shared" si="0"/>
        <v>1569.5</v>
      </c>
      <c r="E12" s="58">
        <v>365</v>
      </c>
    </row>
    <row r="13" spans="1:5" ht="39" thickBot="1" x14ac:dyDescent="0.35">
      <c r="A13" s="56">
        <v>12</v>
      </c>
      <c r="B13" s="57" t="s">
        <v>29</v>
      </c>
      <c r="C13" s="13">
        <v>1804</v>
      </c>
      <c r="D13" s="13">
        <f t="shared" si="0"/>
        <v>902</v>
      </c>
      <c r="E13" s="56">
        <v>205</v>
      </c>
    </row>
    <row r="14" spans="1:5" ht="39" thickBot="1" x14ac:dyDescent="0.35">
      <c r="A14" s="56">
        <v>13</v>
      </c>
      <c r="B14" s="57" t="s">
        <v>61</v>
      </c>
      <c r="C14" s="13">
        <v>15400</v>
      </c>
      <c r="D14" s="13">
        <f t="shared" si="0"/>
        <v>7700</v>
      </c>
      <c r="E14" s="56">
        <v>1400</v>
      </c>
    </row>
    <row r="15" spans="1:5" ht="21" thickBot="1" x14ac:dyDescent="0.35">
      <c r="A15" s="60"/>
      <c r="B15" s="61" t="s">
        <v>30</v>
      </c>
      <c r="C15" s="62">
        <f>SUM(C2:C14)</f>
        <v>43572</v>
      </c>
      <c r="D15" s="62">
        <f>SUM(D2:D14)</f>
        <v>21786</v>
      </c>
      <c r="E15" s="63">
        <f>SUM(E2:E14)</f>
        <v>4815</v>
      </c>
    </row>
    <row r="29" spans="1:6" ht="15" thickBot="1" x14ac:dyDescent="0.35"/>
    <row r="30" spans="1:6" ht="21" thickBot="1" x14ac:dyDescent="0.35">
      <c r="A30" s="11">
        <v>35</v>
      </c>
      <c r="B30" s="11">
        <v>70</v>
      </c>
      <c r="C30" s="11">
        <v>100</v>
      </c>
      <c r="D30" s="11">
        <v>150</v>
      </c>
      <c r="E30" s="11">
        <v>175</v>
      </c>
      <c r="F30">
        <f>SUM(A30:E30)</f>
        <v>530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topLeftCell="A10" workbookViewId="0">
      <selection activeCell="F2" sqref="F2"/>
    </sheetView>
  </sheetViews>
  <sheetFormatPr defaultRowHeight="14.4" x14ac:dyDescent="0.3"/>
  <sheetData>
    <row r="1" spans="1:5" ht="77.400000000000006" thickBot="1" x14ac:dyDescent="0.35">
      <c r="A1" s="58">
        <v>11</v>
      </c>
      <c r="B1" s="92" t="s">
        <v>60</v>
      </c>
      <c r="C1" s="93">
        <f>15400+558</f>
        <v>15958</v>
      </c>
      <c r="D1" s="93">
        <f>1400+60</f>
        <v>1460</v>
      </c>
    </row>
    <row r="2" spans="1:5" ht="39" thickBot="1" x14ac:dyDescent="0.35">
      <c r="A2" s="56">
        <v>2</v>
      </c>
      <c r="B2" s="88" t="s">
        <v>19</v>
      </c>
      <c r="C2" s="89">
        <v>8550</v>
      </c>
      <c r="D2" s="89">
        <v>1140</v>
      </c>
    </row>
    <row r="3" spans="1:5" ht="19.8" thickBot="1" x14ac:dyDescent="0.35">
      <c r="A3" s="55">
        <v>1</v>
      </c>
      <c r="B3" s="86" t="s">
        <v>18</v>
      </c>
      <c r="C3" s="87">
        <v>4505</v>
      </c>
      <c r="D3" s="87">
        <v>530</v>
      </c>
    </row>
    <row r="4" spans="1:5" ht="15" thickBot="1" x14ac:dyDescent="0.35"/>
    <row r="5" spans="1:5" ht="19.8" thickBot="1" x14ac:dyDescent="0.35">
      <c r="A5" s="58">
        <v>3</v>
      </c>
      <c r="B5" s="88" t="s">
        <v>21</v>
      </c>
      <c r="C5" s="89">
        <v>2083</v>
      </c>
      <c r="D5" s="89">
        <v>245</v>
      </c>
    </row>
    <row r="6" spans="1:5" ht="19.8" thickBot="1" x14ac:dyDescent="0.35">
      <c r="A6" s="56">
        <v>4</v>
      </c>
      <c r="B6" s="90" t="s">
        <v>22</v>
      </c>
      <c r="C6" s="91">
        <v>1530</v>
      </c>
      <c r="D6" s="91">
        <v>180</v>
      </c>
    </row>
    <row r="7" spans="1:5" ht="58.2" thickBot="1" x14ac:dyDescent="0.35">
      <c r="A7" s="56">
        <v>6</v>
      </c>
      <c r="B7" s="88" t="s">
        <v>25</v>
      </c>
      <c r="C7" s="89">
        <v>2210</v>
      </c>
      <c r="D7" s="89">
        <v>260</v>
      </c>
    </row>
    <row r="8" spans="1:5" ht="39" thickBot="1" x14ac:dyDescent="0.35">
      <c r="A8" s="58">
        <v>7</v>
      </c>
      <c r="B8" s="90" t="s">
        <v>26</v>
      </c>
      <c r="C8" s="91">
        <v>1190</v>
      </c>
      <c r="D8" s="91">
        <v>140</v>
      </c>
    </row>
    <row r="9" spans="1:5" ht="58.2" thickBot="1" x14ac:dyDescent="0.35">
      <c r="A9" s="56">
        <v>8</v>
      </c>
      <c r="B9" s="88" t="s">
        <v>27</v>
      </c>
      <c r="C9" s="89">
        <v>1445</v>
      </c>
      <c r="D9" s="89">
        <v>170</v>
      </c>
    </row>
    <row r="10" spans="1:5" ht="18" customHeight="1" thickBot="1" x14ac:dyDescent="0.35">
      <c r="A10" s="58">
        <v>9</v>
      </c>
      <c r="B10" s="90" t="s">
        <v>28</v>
      </c>
      <c r="C10" s="91">
        <v>3139</v>
      </c>
      <c r="D10" s="91">
        <v>365</v>
      </c>
    </row>
    <row r="11" spans="1:5" ht="58.2" thickBot="1" x14ac:dyDescent="0.35">
      <c r="A11" s="56">
        <v>10</v>
      </c>
      <c r="B11" s="88" t="s">
        <v>29</v>
      </c>
      <c r="C11" s="89">
        <v>1804</v>
      </c>
      <c r="D11" s="89">
        <v>205</v>
      </c>
    </row>
    <row r="12" spans="1:5" ht="15" thickBot="1" x14ac:dyDescent="0.35"/>
    <row r="13" spans="1:5" ht="61.5" customHeight="1" thickBot="1" x14ac:dyDescent="0.45">
      <c r="A13" s="56">
        <v>12</v>
      </c>
      <c r="B13" s="94" t="s">
        <v>68</v>
      </c>
      <c r="C13" s="95">
        <v>2970</v>
      </c>
      <c r="D13" s="96">
        <v>330</v>
      </c>
    </row>
    <row r="14" spans="1:5" ht="21" thickBot="1" x14ac:dyDescent="0.35">
      <c r="A14" s="60"/>
      <c r="B14" s="61" t="s">
        <v>30</v>
      </c>
      <c r="C14" s="62">
        <f>SUM(C3:C13)</f>
        <v>20876</v>
      </c>
      <c r="D14" s="63">
        <f>SUM(D3:D13)</f>
        <v>2425</v>
      </c>
      <c r="E14">
        <f>SUM(C14:D14)</f>
        <v>23301</v>
      </c>
    </row>
    <row r="16" spans="1:5" ht="15" thickBot="1" x14ac:dyDescent="0.35"/>
    <row r="17" spans="2:6" ht="21" thickBot="1" x14ac:dyDescent="0.5">
      <c r="B17" s="85">
        <v>30</v>
      </c>
      <c r="C17" s="85">
        <v>50</v>
      </c>
      <c r="D17" s="85">
        <v>100</v>
      </c>
      <c r="E17" s="85">
        <v>150</v>
      </c>
      <c r="F17">
        <f>SUM(B17:E17)</f>
        <v>330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topLeftCell="A13" workbookViewId="0">
      <selection activeCell="D27" sqref="D27"/>
    </sheetView>
  </sheetViews>
  <sheetFormatPr defaultRowHeight="14.4" x14ac:dyDescent="0.3"/>
  <cols>
    <col min="1" max="1" width="9.109375" customWidth="1"/>
    <col min="2" max="2" width="35.33203125" customWidth="1"/>
    <col min="3" max="3" width="26.88671875" customWidth="1"/>
  </cols>
  <sheetData>
    <row r="1" spans="1:3" ht="76.8" x14ac:dyDescent="0.3">
      <c r="A1" s="122" t="s">
        <v>10</v>
      </c>
      <c r="B1" s="125" t="s">
        <v>56</v>
      </c>
      <c r="C1" s="69" t="s">
        <v>62</v>
      </c>
    </row>
    <row r="2" spans="1:3" ht="39" thickBot="1" x14ac:dyDescent="0.35">
      <c r="A2" s="123"/>
      <c r="B2" s="126"/>
      <c r="C2" s="70" t="s">
        <v>63</v>
      </c>
    </row>
    <row r="3" spans="1:3" ht="61.8" thickBot="1" x14ac:dyDescent="0.35">
      <c r="A3" s="124"/>
      <c r="B3" s="127"/>
      <c r="C3" s="71" t="s">
        <v>64</v>
      </c>
    </row>
    <row r="4" spans="1:3" ht="82.2" thickBot="1" x14ac:dyDescent="0.35">
      <c r="A4" s="11">
        <v>1</v>
      </c>
      <c r="B4" s="12" t="s">
        <v>65</v>
      </c>
      <c r="C4" s="97">
        <v>745</v>
      </c>
    </row>
    <row r="5" spans="1:3" ht="21" thickBot="1" x14ac:dyDescent="0.35">
      <c r="A5" s="13">
        <v>2</v>
      </c>
      <c r="B5" s="14" t="s">
        <v>22</v>
      </c>
      <c r="C5" s="98">
        <v>590</v>
      </c>
    </row>
    <row r="6" spans="1:3" ht="82.2" thickBot="1" x14ac:dyDescent="0.35">
      <c r="A6" s="15">
        <v>3</v>
      </c>
      <c r="B6" s="16" t="s">
        <v>60</v>
      </c>
      <c r="C6" s="99">
        <v>535</v>
      </c>
    </row>
    <row r="7" spans="1:3" ht="21" thickBot="1" x14ac:dyDescent="0.35">
      <c r="A7" s="13">
        <v>4</v>
      </c>
      <c r="B7" s="14" t="s">
        <v>18</v>
      </c>
      <c r="C7" s="98">
        <v>530</v>
      </c>
    </row>
    <row r="8" spans="1:3" ht="21" thickBot="1" x14ac:dyDescent="0.35">
      <c r="A8" s="15">
        <v>5</v>
      </c>
      <c r="B8" s="16" t="s">
        <v>28</v>
      </c>
      <c r="C8" s="99">
        <v>365</v>
      </c>
    </row>
    <row r="9" spans="1:3" ht="61.8" thickBot="1" x14ac:dyDescent="0.35">
      <c r="A9" s="13">
        <v>6</v>
      </c>
      <c r="B9" s="14" t="s">
        <v>25</v>
      </c>
      <c r="C9" s="98">
        <v>360</v>
      </c>
    </row>
    <row r="10" spans="1:3" ht="61.8" thickBot="1" x14ac:dyDescent="0.35">
      <c r="A10" s="15">
        <v>7</v>
      </c>
      <c r="B10" s="16" t="s">
        <v>68</v>
      </c>
      <c r="C10" s="99">
        <v>330</v>
      </c>
    </row>
    <row r="11" spans="1:3" ht="21" thickBot="1" x14ac:dyDescent="0.35">
      <c r="A11" s="13">
        <v>8</v>
      </c>
      <c r="B11" s="14" t="s">
        <v>21</v>
      </c>
      <c r="C11" s="98">
        <v>245</v>
      </c>
    </row>
    <row r="12" spans="1:3" ht="61.8" thickBot="1" x14ac:dyDescent="0.35">
      <c r="A12" s="15">
        <v>9</v>
      </c>
      <c r="B12" s="16" t="s">
        <v>29</v>
      </c>
      <c r="C12" s="99">
        <v>205</v>
      </c>
    </row>
    <row r="13" spans="1:3" ht="82.2" thickBot="1" x14ac:dyDescent="0.35">
      <c r="A13" s="13">
        <v>10</v>
      </c>
      <c r="B13" s="14" t="s">
        <v>67</v>
      </c>
      <c r="C13" s="98">
        <v>170</v>
      </c>
    </row>
    <row r="14" spans="1:3" ht="82.2" thickBot="1" x14ac:dyDescent="0.35">
      <c r="A14" s="15">
        <v>11</v>
      </c>
      <c r="B14" s="16" t="s">
        <v>66</v>
      </c>
      <c r="C14" s="99">
        <v>140</v>
      </c>
    </row>
    <row r="15" spans="1:3" ht="61.5" customHeight="1" thickBot="1" x14ac:dyDescent="0.35">
      <c r="A15" s="13">
        <v>12</v>
      </c>
      <c r="B15" s="14" t="s">
        <v>70</v>
      </c>
      <c r="C15" s="98">
        <v>4215</v>
      </c>
    </row>
  </sheetData>
  <mergeCells count="2">
    <mergeCell ref="A1:A3"/>
    <mergeCell ref="B1:B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tabSelected="1" zoomScale="85" zoomScaleNormal="85" workbookViewId="0">
      <selection activeCell="M11" sqref="M11"/>
    </sheetView>
  </sheetViews>
  <sheetFormatPr defaultRowHeight="14.4" x14ac:dyDescent="0.3"/>
  <sheetData>
    <row r="1" spans="1:7" ht="51" thickBot="1" x14ac:dyDescent="0.35">
      <c r="A1" s="122" t="s">
        <v>10</v>
      </c>
      <c r="B1" s="125" t="s">
        <v>11</v>
      </c>
      <c r="C1" s="72" t="s">
        <v>12</v>
      </c>
      <c r="D1" s="72" t="s">
        <v>12</v>
      </c>
      <c r="E1" s="72" t="s">
        <v>12</v>
      </c>
      <c r="F1" s="72" t="s">
        <v>12</v>
      </c>
      <c r="G1" s="73" t="s">
        <v>12</v>
      </c>
    </row>
    <row r="2" spans="1:7" ht="41.4" thickBot="1" x14ac:dyDescent="0.35">
      <c r="A2" s="124"/>
      <c r="B2" s="127"/>
      <c r="C2" s="74" t="s">
        <v>13</v>
      </c>
      <c r="D2" s="74" t="s">
        <v>14</v>
      </c>
      <c r="E2" s="74" t="s">
        <v>15</v>
      </c>
      <c r="F2" s="74" t="s">
        <v>16</v>
      </c>
      <c r="G2" s="75" t="s">
        <v>17</v>
      </c>
    </row>
    <row r="3" spans="1:7" ht="21" thickBot="1" x14ac:dyDescent="0.35">
      <c r="A3" s="11">
        <v>1</v>
      </c>
      <c r="B3" s="12" t="s">
        <v>18</v>
      </c>
      <c r="C3" s="11">
        <v>35</v>
      </c>
      <c r="D3" s="11">
        <v>70</v>
      </c>
      <c r="E3" s="11">
        <v>100</v>
      </c>
      <c r="F3" s="11">
        <v>150</v>
      </c>
      <c r="G3" s="11">
        <v>175</v>
      </c>
    </row>
    <row r="4" spans="1:7" ht="61.8" thickBot="1" x14ac:dyDescent="0.35">
      <c r="A4" s="13">
        <v>2</v>
      </c>
      <c r="B4" s="14" t="s">
        <v>19</v>
      </c>
      <c r="C4" s="13">
        <v>100</v>
      </c>
      <c r="D4" s="13">
        <v>140</v>
      </c>
      <c r="E4" s="13">
        <v>200</v>
      </c>
      <c r="F4" s="13">
        <v>300</v>
      </c>
      <c r="G4" s="13">
        <v>400</v>
      </c>
    </row>
    <row r="5" spans="1:7" ht="41.4" thickBot="1" x14ac:dyDescent="0.35">
      <c r="A5" s="15">
        <v>3</v>
      </c>
      <c r="B5" s="16" t="s">
        <v>20</v>
      </c>
      <c r="C5" s="15">
        <v>5</v>
      </c>
      <c r="D5" s="15">
        <v>10</v>
      </c>
      <c r="E5" s="15">
        <v>15</v>
      </c>
      <c r="F5" s="15">
        <v>15</v>
      </c>
      <c r="G5" s="15">
        <v>15</v>
      </c>
    </row>
    <row r="6" spans="1:7" ht="21" thickBot="1" x14ac:dyDescent="0.35">
      <c r="A6" s="13">
        <v>4</v>
      </c>
      <c r="B6" s="14" t="s">
        <v>21</v>
      </c>
      <c r="C6" s="13">
        <v>25</v>
      </c>
      <c r="D6" s="13">
        <v>30</v>
      </c>
      <c r="E6" s="13">
        <v>40</v>
      </c>
      <c r="F6" s="13">
        <v>50</v>
      </c>
      <c r="G6" s="13">
        <v>100</v>
      </c>
    </row>
    <row r="7" spans="1:7" ht="21" thickBot="1" x14ac:dyDescent="0.35">
      <c r="A7" s="15">
        <v>5</v>
      </c>
      <c r="B7" s="16" t="s">
        <v>22</v>
      </c>
      <c r="C7" s="15">
        <v>10</v>
      </c>
      <c r="D7" s="15">
        <v>10</v>
      </c>
      <c r="E7" s="15">
        <v>20</v>
      </c>
      <c r="F7" s="15">
        <v>40</v>
      </c>
      <c r="G7" s="15">
        <v>100</v>
      </c>
    </row>
    <row r="8" spans="1:7" ht="21" thickBot="1" x14ac:dyDescent="0.35">
      <c r="A8" s="13">
        <v>6</v>
      </c>
      <c r="B8" s="14" t="s">
        <v>23</v>
      </c>
      <c r="C8" s="13">
        <v>5</v>
      </c>
      <c r="D8" s="13">
        <v>10</v>
      </c>
      <c r="E8" s="13">
        <v>15</v>
      </c>
      <c r="F8" s="13">
        <v>15</v>
      </c>
      <c r="G8" s="13">
        <v>15</v>
      </c>
    </row>
    <row r="9" spans="1:7" ht="21" thickBot="1" x14ac:dyDescent="0.5">
      <c r="A9" s="15">
        <v>7</v>
      </c>
      <c r="B9" s="16" t="s">
        <v>24</v>
      </c>
      <c r="C9" s="15">
        <v>5</v>
      </c>
      <c r="D9" s="15">
        <v>10</v>
      </c>
      <c r="E9" s="17">
        <v>15</v>
      </c>
      <c r="F9" s="17">
        <v>15</v>
      </c>
      <c r="G9" s="17">
        <v>15</v>
      </c>
    </row>
    <row r="10" spans="1:7" ht="61.8" thickBot="1" x14ac:dyDescent="0.35">
      <c r="A10" s="13">
        <v>8</v>
      </c>
      <c r="B10" s="14" t="s">
        <v>25</v>
      </c>
      <c r="C10" s="13">
        <v>10</v>
      </c>
      <c r="D10" s="13">
        <v>20</v>
      </c>
      <c r="E10" s="13">
        <v>30</v>
      </c>
      <c r="F10" s="13">
        <v>50</v>
      </c>
      <c r="G10" s="13">
        <v>150</v>
      </c>
    </row>
    <row r="11" spans="1:7" ht="41.4" thickBot="1" x14ac:dyDescent="0.5">
      <c r="A11" s="15">
        <v>9</v>
      </c>
      <c r="B11" s="16" t="s">
        <v>26</v>
      </c>
      <c r="C11" s="15">
        <v>15</v>
      </c>
      <c r="D11" s="15">
        <v>20</v>
      </c>
      <c r="E11" s="17">
        <v>25</v>
      </c>
      <c r="F11" s="17">
        <v>30</v>
      </c>
      <c r="G11" s="17">
        <v>50</v>
      </c>
    </row>
    <row r="12" spans="1:7" ht="61.8" thickBot="1" x14ac:dyDescent="0.35">
      <c r="A12" s="13">
        <v>10</v>
      </c>
      <c r="B12" s="14" t="s">
        <v>27</v>
      </c>
      <c r="C12" s="13">
        <v>15</v>
      </c>
      <c r="D12" s="13">
        <v>25</v>
      </c>
      <c r="E12" s="13">
        <v>30</v>
      </c>
      <c r="F12" s="13">
        <v>40</v>
      </c>
      <c r="G12" s="13">
        <v>60</v>
      </c>
    </row>
    <row r="13" spans="1:7" ht="21" thickBot="1" x14ac:dyDescent="0.5">
      <c r="A13" s="15">
        <v>11</v>
      </c>
      <c r="B13" s="16" t="s">
        <v>28</v>
      </c>
      <c r="C13" s="15">
        <v>10</v>
      </c>
      <c r="D13" s="17">
        <v>15</v>
      </c>
      <c r="E13" s="17">
        <v>40</v>
      </c>
      <c r="F13" s="17">
        <v>100</v>
      </c>
      <c r="G13" s="17">
        <v>200</v>
      </c>
    </row>
    <row r="14" spans="1:7" ht="61.8" thickBot="1" x14ac:dyDescent="0.5">
      <c r="A14" s="13">
        <v>12</v>
      </c>
      <c r="B14" s="14" t="s">
        <v>29</v>
      </c>
      <c r="C14" s="13">
        <v>20</v>
      </c>
      <c r="D14" s="18">
        <v>30</v>
      </c>
      <c r="E14" s="18">
        <v>40</v>
      </c>
      <c r="F14" s="18">
        <v>45</v>
      </c>
      <c r="G14" s="18">
        <v>70</v>
      </c>
    </row>
    <row r="15" spans="1:7" ht="82.2" thickBot="1" x14ac:dyDescent="0.5">
      <c r="A15" s="76">
        <v>13</v>
      </c>
      <c r="B15" s="77" t="s">
        <v>60</v>
      </c>
      <c r="C15" s="76">
        <v>50</v>
      </c>
      <c r="D15" s="76">
        <v>100</v>
      </c>
      <c r="E15" s="76">
        <v>200</v>
      </c>
      <c r="F15" s="76">
        <v>400</v>
      </c>
      <c r="G15" s="76">
        <v>650</v>
      </c>
    </row>
    <row r="16" spans="1:7" ht="23.4" thickBot="1" x14ac:dyDescent="0.35">
      <c r="A16" s="19"/>
      <c r="B16" s="78" t="s">
        <v>30</v>
      </c>
      <c r="C16" s="79">
        <f>SUM(C3:C15)</f>
        <v>305</v>
      </c>
      <c r="D16" s="79">
        <f>SUM(D3:D15)</f>
        <v>490</v>
      </c>
      <c r="E16" s="79">
        <f>SUM(E3:E15)</f>
        <v>770</v>
      </c>
      <c r="F16" s="79">
        <f>SUM(F3:F15)</f>
        <v>1250</v>
      </c>
      <c r="G16" s="79">
        <f>SUM(G3:G15)</f>
        <v>2000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Vivek Kumar Singh</cp:lastModifiedBy>
  <dcterms:created xsi:type="dcterms:W3CDTF">2024-09-18T10:59:26Z</dcterms:created>
  <dcterms:modified xsi:type="dcterms:W3CDTF">2026-03-21T05:56:47Z</dcterms:modified>
</cp:coreProperties>
</file>