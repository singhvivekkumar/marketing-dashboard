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firstSheet="5" activeTab="7"/>
  </bookViews>
  <sheets>
    <sheet name="Sheet1" sheetId="1" r:id="rId1"/>
    <sheet name="Sheet2" sheetId="2" r:id="rId2"/>
    <sheet name="Sheet3" sheetId="3" r:id="rId3"/>
    <sheet name="Sheet4" sheetId="4" r:id="rId4"/>
    <sheet name="order book positin &amp; Exec" sheetId="5" r:id="rId5"/>
    <sheet name="exec plan" sheetId="6" r:id="rId6"/>
    <sheet name="Sheet5" sheetId="7" r:id="rId7"/>
    <sheet name="Sheet7" sheetId="8" r:id="rId8"/>
    <sheet name="Dom Aquisition" sheetId="9" r:id="rId9"/>
    <sheet name="Sheet6" sheetId="10" r:id="rId10"/>
  </sheets>
  <externalReferences>
    <externalReference r:id="rId11"/>
  </externalReferences>
  <calcPr calcId="144525"/>
</workbook>
</file>

<file path=xl/calcChain.xml><?xml version="1.0" encoding="utf-8"?>
<calcChain xmlns="http://schemas.openxmlformats.org/spreadsheetml/2006/main">
  <c r="E14" i="8" l="1"/>
  <c r="D14" i="8"/>
  <c r="D4" i="7" l="1"/>
  <c r="E4" i="7"/>
  <c r="F4" i="7"/>
  <c r="G4" i="7"/>
  <c r="H4" i="7"/>
  <c r="C4" i="7"/>
  <c r="I10" i="1" l="1"/>
  <c r="F10" i="1"/>
  <c r="I8" i="1" l="1"/>
  <c r="G6" i="5"/>
  <c r="G5" i="5"/>
  <c r="G4" i="5"/>
  <c r="G3" i="5"/>
  <c r="I4" i="1" l="1"/>
  <c r="I5" i="1"/>
  <c r="I6" i="1"/>
  <c r="I7" i="1"/>
  <c r="I3" i="1"/>
  <c r="H10" i="1"/>
  <c r="J10" i="1" l="1"/>
</calcChain>
</file>

<file path=xl/sharedStrings.xml><?xml version="1.0" encoding="utf-8"?>
<sst xmlns="http://schemas.openxmlformats.org/spreadsheetml/2006/main" count="154" uniqueCount="97">
  <si>
    <t>Sl no</t>
  </si>
  <si>
    <t>Year</t>
  </si>
  <si>
    <t>Def</t>
  </si>
  <si>
    <t>(Count)</t>
  </si>
  <si>
    <t>Non Def</t>
  </si>
  <si>
    <t>ST</t>
  </si>
  <si>
    <t>MT</t>
  </si>
  <si>
    <t>Total Value in Crores -Direct</t>
  </si>
  <si>
    <t>2019-20</t>
  </si>
  <si>
    <t>2020-21</t>
  </si>
  <si>
    <t>2021-22</t>
  </si>
  <si>
    <t>2022-23</t>
  </si>
  <si>
    <t xml:space="preserve">2023-24 </t>
  </si>
  <si>
    <t>Total count</t>
  </si>
  <si>
    <t>total value in crore</t>
  </si>
  <si>
    <t>_</t>
  </si>
  <si>
    <t xml:space="preserve">ST </t>
  </si>
  <si>
    <t>(value in crore)</t>
  </si>
  <si>
    <t xml:space="preserve">MT </t>
  </si>
  <si>
    <t>total</t>
  </si>
  <si>
    <t>Sl.No</t>
  </si>
  <si>
    <t>IDST</t>
  </si>
  <si>
    <t xml:space="preserve">IUST </t>
  </si>
  <si>
    <t>Direct order</t>
  </si>
  <si>
    <t>Total</t>
  </si>
  <si>
    <t>2023-24</t>
  </si>
  <si>
    <t>Sl</t>
  </si>
  <si>
    <t>Project</t>
  </si>
  <si>
    <t>2024-25</t>
  </si>
  <si>
    <t>2025-26</t>
  </si>
  <si>
    <t>2026-27</t>
  </si>
  <si>
    <t>2027-28</t>
  </si>
  <si>
    <t>2028-29</t>
  </si>
  <si>
    <t>2029-30</t>
  </si>
  <si>
    <t>UDI (Unique Digital Identity) – Africa + Latin America</t>
  </si>
  <si>
    <t>PAT (OMAN), Simulators</t>
  </si>
  <si>
    <t> 20</t>
  </si>
  <si>
    <t> 25</t>
  </si>
  <si>
    <t> 30</t>
  </si>
  <si>
    <t>IV&amp;V, Custom SW Development</t>
  </si>
  <si>
    <t>Total in Million USD</t>
  </si>
  <si>
    <t>Sl. no</t>
  </si>
  <si>
    <t>Order Book Position (Direct Orders)</t>
  </si>
  <si>
    <t>Orders Executed</t>
  </si>
  <si>
    <t>Turn over (Direct+ IDST+ IUST)</t>
  </si>
  <si>
    <t>Y.O.Y Growth</t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</si>
  <si>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2020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</si>
  <si>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2021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</si>
  <si>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2022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</si>
  <si>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2023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</si>
  <si>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2024</t>
    </r>
  </si>
  <si>
    <t>sll.no</t>
  </si>
  <si>
    <t>year</t>
  </si>
  <si>
    <t>1st April
2020</t>
  </si>
  <si>
    <t>1st April
2021</t>
  </si>
  <si>
    <t>1st April
2022</t>
  </si>
  <si>
    <t>1st April
2023</t>
  </si>
  <si>
    <t>1st April
2024</t>
  </si>
  <si>
    <t>2024-25(as on Nov 2024)</t>
  </si>
  <si>
    <t>2024-25
(as on Nov 2024)</t>
  </si>
  <si>
    <t>2024
(as on Nov 2024)</t>
  </si>
  <si>
    <t>Projects</t>
  </si>
  <si>
    <t>SW Business (Direct)</t>
  </si>
  <si>
    <t>IDST/IUST</t>
  </si>
  <si>
    <t>Total Turnover</t>
  </si>
  <si>
    <t>Sl. No.</t>
  </si>
  <si>
    <t>SW Domain</t>
  </si>
  <si>
    <t>ERP</t>
  </si>
  <si>
    <t>AI/ML</t>
  </si>
  <si>
    <t>HMIS</t>
  </si>
  <si>
    <t>BFSI</t>
  </si>
  <si>
    <t>Defence Projects</t>
  </si>
  <si>
    <t>TOTAL</t>
  </si>
  <si>
    <t>Cyber Security</t>
  </si>
  <si>
    <r>
      <t>Sl. No</t>
    </r>
    <r>
      <rPr>
        <b/>
        <sz val="16"/>
        <color rgb="FF1E1C11"/>
        <rFont val="Arial"/>
      </rPr>
      <t>.</t>
    </r>
  </si>
  <si>
    <t>Value  in Rs. Crores</t>
  </si>
  <si>
    <t>No of Tenders(2022-24)</t>
  </si>
  <si>
    <t>Others 
(COTS HW, SW, O&amp;M)</t>
  </si>
  <si>
    <t>Digital
 Transformation
(Digital Identity, Blockchain, Other IT Projects, App Development, App Migration)</t>
  </si>
  <si>
    <t>Cloud Services
 (MSP)</t>
  </si>
  <si>
    <t>Business Segment</t>
  </si>
  <si>
    <t>Overall Available Business</t>
  </si>
  <si>
    <t>Overall Addressable by BEL (2025-2030)</t>
  </si>
  <si>
    <t>B2B Projects</t>
  </si>
  <si>
    <t>Digital Agriculture</t>
  </si>
  <si>
    <t>DRDO Projects</t>
  </si>
  <si>
    <t>Digital 
Transformation
(Digital Identity, Blockchain, Other IT Projects)</t>
  </si>
  <si>
    <t>Cloud Services 
(MSP)</t>
  </si>
  <si>
    <t>Simulation
 Platforms</t>
  </si>
  <si>
    <t>2024-25
(Planned Sales)</t>
  </si>
  <si>
    <t>2024-25
(Planned Acquisition)</t>
  </si>
  <si>
    <t>2024-25
(As On Nov 2024 Acquired)</t>
  </si>
  <si>
    <t>2024-25
(As On Nov 2024 Sales)</t>
  </si>
  <si>
    <r>
      <t>Sl. No</t>
    </r>
    <r>
      <rPr>
        <b/>
        <sz val="14"/>
        <color rgb="FF000000"/>
        <rFont val="Calibri"/>
      </rPr>
      <t>.</t>
    </r>
  </si>
  <si>
    <t>Digital
Transformation
(Digital Identity, Blockchain, Other IT Projects, App Development, App Migration)</t>
  </si>
  <si>
    <t>Defence 
Projects</t>
  </si>
  <si>
    <t>Others
 (COTS HW, SW, O&amp;M)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</si>
</sst>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2"/>
      <color rgb="FFFFFFFF"/>
      <name val="Yu Gothic UI Semibold"/>
      <family val="2"/>
    </font>
    <font>
      <b/>
      <sz val="9"/>
      <color rgb="FFFFFFFF"/>
      <name val="Yu Gothic UI Semibold"/>
      <family val="2"/>
    </font>
    <font>
      <b/>
      <sz val="10.5"/>
      <color rgb="FFFFFFFF"/>
      <name val="Yu Gothic UI Semibold"/>
      <family val="2"/>
    </font>
    <font>
      <sz val="11"/>
      <color rgb="FF1F497D"/>
      <name val="Yu Gothic UI Semibold"/>
      <family val="2"/>
    </font>
    <font>
      <sz val="11"/>
      <color rgb="FF000000"/>
      <name val="Yu Gothic UI Semibold"/>
      <family val="2"/>
    </font>
    <font>
      <sz val="11"/>
      <color rgb="FF2C2C2C"/>
      <name val="Yu Gothic UI Semibold"/>
      <family val="2"/>
    </font>
    <font>
      <b/>
      <sz val="11"/>
      <color rgb="FF1F497D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Yu Gothic UI Semibold"/>
      <family val="2"/>
    </font>
    <font>
      <b/>
      <sz val="9"/>
      <color rgb="FFFFFFFF"/>
      <name val="Yu Gothic UI Semibold"/>
      <family val="2"/>
    </font>
    <font>
      <b/>
      <sz val="11"/>
      <color rgb="FF1F497D"/>
      <name val="Arial"/>
      <family val="2"/>
    </font>
    <font>
      <b/>
      <sz val="11"/>
      <color rgb="FF2C2C2C"/>
      <name val="Yu Gothic UI Semibold"/>
      <family val="2"/>
    </font>
    <font>
      <sz val="11"/>
      <name val="Yu Gothic UI Semibold"/>
      <family val="2"/>
    </font>
    <font>
      <b/>
      <sz val="14"/>
      <color rgb="FFFFFFFF"/>
      <name val="Yu Gothic UI Semibold"/>
      <family val="2"/>
    </font>
    <font>
      <sz val="14"/>
      <color rgb="FF000000"/>
      <name val="Yu Gothic UI Semibold"/>
      <family val="2"/>
    </font>
    <font>
      <vertAlign val="superscript"/>
      <sz val="14"/>
      <color rgb="FF000000"/>
      <name val="Yu Gothic UI Semibold"/>
      <family val="2"/>
    </font>
    <font>
      <sz val="14"/>
      <color rgb="FFFF0000"/>
      <name val="Yu Gothic UI Semibold"/>
      <family val="2"/>
    </font>
    <font>
      <sz val="14"/>
      <color rgb="FF10253F"/>
      <name val="Yu Gothic UI Semibold"/>
      <family val="2"/>
    </font>
    <font>
      <b/>
      <sz val="11"/>
      <color rgb="FF2C2C2C"/>
      <name val="Arial"/>
      <family val="2"/>
    </font>
    <font>
      <b/>
      <sz val="14"/>
      <color rgb="FF1E1C11"/>
      <name val="Arial"/>
    </font>
    <font>
      <b/>
      <sz val="16"/>
      <color rgb="FF1E1C11"/>
      <name val="Arial"/>
    </font>
    <font>
      <b/>
      <sz val="18"/>
      <color rgb="FF1E1C11"/>
      <name val="Arial"/>
    </font>
    <font>
      <b/>
      <sz val="11"/>
      <color rgb="FF000000"/>
      <name val="Arial"/>
    </font>
    <font>
      <b/>
      <sz val="10.5"/>
      <color rgb="FF000000"/>
      <name val="Arial"/>
    </font>
    <font>
      <sz val="12"/>
      <color rgb="FF000000"/>
      <name val="Arial"/>
    </font>
    <font>
      <sz val="14"/>
      <color rgb="FF000000"/>
      <name val="Arial"/>
    </font>
    <font>
      <b/>
      <sz val="14"/>
      <color rgb="FF000000"/>
      <name val="Calibri"/>
    </font>
    <font>
      <sz val="18"/>
      <name val="Arial"/>
    </font>
    <font>
      <b/>
      <sz val="11"/>
      <color rgb="FF000000"/>
      <name val="Yu Gothic UI Semibold"/>
    </font>
    <font>
      <b/>
      <sz val="12"/>
      <color rgb="FF000000"/>
      <name val="Arial"/>
    </font>
    <font>
      <sz val="12"/>
      <color rgb="FF2C2C2C"/>
      <name val="Yu Gothic UI Semibold"/>
    </font>
    <font>
      <b/>
      <sz val="12"/>
      <color rgb="FF2C2C2C"/>
      <name val="Yu Gothic UI Semibold"/>
    </font>
    <font>
      <b/>
      <sz val="12"/>
      <color rgb="FFFFFFFF"/>
      <name val="Yu Gothic UI Semibold"/>
    </font>
    <font>
      <b/>
      <sz val="11"/>
      <color rgb="FF2C2C2C"/>
      <name val="Yu Gothic UI Semibold"/>
    </font>
    <font>
      <sz val="11"/>
      <color rgb="FF2C2C2C"/>
      <name val="Yu Gothic UI Semibold"/>
    </font>
    <font>
      <b/>
      <sz val="11"/>
      <color rgb="FF2C2C2C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FCDDCF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FDEFE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6092"/>
        <bgColor indexed="64"/>
      </patternFill>
    </fill>
    <fill>
      <patternFill patternType="solid">
        <fgColor rgb="FFE9F1F5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D9F1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CCCCCC"/>
        <bgColor indexed="64"/>
      </patternFill>
    </fill>
  </fills>
  <borders count="24">
    <border>
      <left/>
      <right/>
      <top/>
      <bottom/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/>
      <diagonal/>
    </border>
    <border>
      <left style="medium">
        <color rgb="FF984807"/>
      </left>
      <right style="medium">
        <color rgb="FF984807"/>
      </right>
      <top/>
      <bottom style="medium">
        <color rgb="FF984807"/>
      </bottom>
      <diagonal/>
    </border>
    <border>
      <left style="medium">
        <color rgb="FFE46C0A"/>
      </left>
      <right style="medium">
        <color rgb="FFE46C0A"/>
      </right>
      <top style="medium">
        <color rgb="FF984807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E46C0A"/>
      </left>
      <right style="medium">
        <color rgb="FFFFFFFF"/>
      </right>
      <top style="medium">
        <color rgb="FFE46C0A"/>
      </top>
      <bottom style="medium">
        <color rgb="FFE46C0A"/>
      </bottom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 style="medium">
        <color rgb="FFE46C0A"/>
      </bottom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4A7B"/>
      </left>
      <right style="medium">
        <color rgb="FF604A7B"/>
      </right>
      <top style="medium">
        <color rgb="FF604A7B"/>
      </top>
      <bottom style="medium">
        <color rgb="FF604A7B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 style="thin">
        <color indexed="64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1F497D"/>
      </left>
      <right style="medium">
        <color rgb="FF1F497D"/>
      </right>
      <top style="medium">
        <color rgb="FF376092"/>
      </top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inden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6" fillId="6" borderId="3" xfId="0" applyFont="1" applyFill="1" applyBorder="1" applyAlignment="1">
      <alignment horizontal="center" vertical="center" wrapText="1" readingOrder="1"/>
    </xf>
    <xf numFmtId="0" fontId="6" fillId="7" borderId="3" xfId="0" applyFont="1" applyFill="1" applyBorder="1" applyAlignment="1">
      <alignment horizontal="center" vertical="center" wrapText="1" readingOrder="1"/>
    </xf>
    <xf numFmtId="0" fontId="5" fillId="8" borderId="4" xfId="0" applyFont="1" applyFill="1" applyBorder="1" applyAlignment="1">
      <alignment horizontal="center" vertical="center" wrapText="1" readingOrder="1"/>
    </xf>
    <xf numFmtId="0" fontId="5" fillId="8" borderId="4" xfId="0" applyFont="1" applyFill="1" applyBorder="1" applyAlignment="1">
      <alignment horizontal="left" vertical="center" wrapText="1" inden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6" fillId="6" borderId="4" xfId="0" applyFont="1" applyFill="1" applyBorder="1" applyAlignment="1">
      <alignment horizontal="center" vertical="center" wrapText="1" readingOrder="1"/>
    </xf>
    <xf numFmtId="0" fontId="6" fillId="7" borderId="4" xfId="0" applyFont="1" applyFill="1" applyBorder="1" applyAlignment="1">
      <alignment horizontal="center" vertical="center" wrapText="1" readingOrder="1"/>
    </xf>
    <xf numFmtId="0" fontId="7" fillId="8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 indent="1" readingOrder="1"/>
    </xf>
    <xf numFmtId="0" fontId="9" fillId="4" borderId="4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0" fontId="10" fillId="6" borderId="4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0" fillId="7" borderId="4" xfId="0" applyFont="1" applyFill="1" applyBorder="1" applyAlignment="1">
      <alignment horizontal="center" vertical="center" wrapText="1" readingOrder="1"/>
    </xf>
    <xf numFmtId="0" fontId="13" fillId="3" borderId="4" xfId="0" applyFont="1" applyFill="1" applyBorder="1" applyAlignment="1">
      <alignment horizontal="left" vertical="center" wrapText="1" inden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7" fillId="9" borderId="4" xfId="0" applyFont="1" applyFill="1" applyBorder="1" applyAlignment="1">
      <alignment horizontal="center" vertical="center" wrapText="1" readingOrder="1"/>
    </xf>
    <xf numFmtId="0" fontId="7" fillId="10" borderId="4" xfId="0" applyFont="1" applyFill="1" applyBorder="1" applyAlignment="1">
      <alignment horizontal="center" vertical="center" wrapText="1" readingOrder="1"/>
    </xf>
    <xf numFmtId="0" fontId="15" fillId="3" borderId="3" xfId="0" applyFont="1" applyFill="1" applyBorder="1" applyAlignment="1">
      <alignment horizontal="center" vertical="center" wrapText="1" readingOrder="1"/>
    </xf>
    <xf numFmtId="0" fontId="16" fillId="11" borderId="8" xfId="0" applyFont="1" applyFill="1" applyBorder="1" applyAlignment="1">
      <alignment vertical="center" wrapText="1" readingOrder="1"/>
    </xf>
    <xf numFmtId="0" fontId="16" fillId="11" borderId="8" xfId="0" applyFont="1" applyFill="1" applyBorder="1" applyAlignment="1">
      <alignment horizontal="center" vertical="center" wrapText="1" readingOrder="1"/>
    </xf>
    <xf numFmtId="0" fontId="17" fillId="12" borderId="9" xfId="0" applyFont="1" applyFill="1" applyBorder="1" applyAlignment="1">
      <alignment horizontal="center" vertical="center" wrapText="1" readingOrder="1"/>
    </xf>
    <xf numFmtId="0" fontId="19" fillId="12" borderId="9" xfId="0" applyFont="1" applyFill="1" applyBorder="1" applyAlignment="1">
      <alignment horizontal="center" vertical="center" wrapText="1" readingOrder="1"/>
    </xf>
    <xf numFmtId="0" fontId="20" fillId="12" borderId="9" xfId="0" applyFont="1" applyFill="1" applyBorder="1" applyAlignment="1">
      <alignment horizontal="center" vertical="center" wrapText="1" readingOrder="1"/>
    </xf>
    <xf numFmtId="0" fontId="17" fillId="0" borderId="10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wrapText="1" readingOrder="1"/>
    </xf>
    <xf numFmtId="1" fontId="20" fillId="0" borderId="11" xfId="0" applyNumberFormat="1" applyFont="1" applyFill="1" applyBorder="1" applyAlignment="1">
      <alignment horizontal="center" vertical="center" wrapText="1" readingOrder="1"/>
    </xf>
    <xf numFmtId="0" fontId="17" fillId="12" borderId="10" xfId="0" applyFont="1" applyFill="1" applyBorder="1" applyAlignment="1">
      <alignment horizontal="center" vertical="center" wrapText="1" readingOrder="1"/>
    </xf>
    <xf numFmtId="0" fontId="20" fillId="12" borderId="10" xfId="0" applyFont="1" applyFill="1" applyBorder="1" applyAlignment="1">
      <alignment horizontal="center" vertical="center" wrapText="1" readingOrder="1"/>
    </xf>
    <xf numFmtId="0" fontId="17" fillId="12" borderId="8" xfId="0" applyFont="1" applyFill="1" applyBorder="1" applyAlignment="1">
      <alignment horizontal="center" vertical="center" wrapText="1" readingOrder="1"/>
    </xf>
    <xf numFmtId="0" fontId="20" fillId="12" borderId="8" xfId="0" applyFont="1" applyFill="1" applyBorder="1" applyAlignment="1">
      <alignment horizontal="center" vertical="center" wrapText="1" readingOrder="1"/>
    </xf>
    <xf numFmtId="0" fontId="17" fillId="12" borderId="8" xfId="0" applyFont="1" applyFill="1" applyBorder="1" applyAlignment="1">
      <alignment horizontal="left" vertical="center" wrapText="1" indent="1" readingOrder="1"/>
    </xf>
    <xf numFmtId="0" fontId="0" fillId="0" borderId="12" xfId="0" applyBorder="1"/>
    <xf numFmtId="0" fontId="0" fillId="0" borderId="12" xfId="0" applyBorder="1" applyAlignment="1">
      <alignment wrapText="1"/>
    </xf>
    <xf numFmtId="0" fontId="2" fillId="11" borderId="13" xfId="0" applyFont="1" applyFill="1" applyBorder="1" applyAlignment="1">
      <alignment horizontal="center" vertical="center" wrapText="1" readingOrder="1"/>
    </xf>
    <xf numFmtId="0" fontId="14" fillId="13" borderId="13" xfId="0" applyFont="1" applyFill="1" applyBorder="1" applyAlignment="1">
      <alignment horizontal="center" vertical="center" wrapText="1" readingOrder="1"/>
    </xf>
    <xf numFmtId="0" fontId="7" fillId="13" borderId="13" xfId="0" applyFont="1" applyFill="1" applyBorder="1" applyAlignment="1">
      <alignment horizontal="left" vertical="center" wrapText="1" indent="1" readingOrder="1"/>
    </xf>
    <xf numFmtId="0" fontId="14" fillId="10" borderId="13" xfId="0" applyFont="1" applyFill="1" applyBorder="1" applyAlignment="1">
      <alignment horizontal="center" vertical="center" wrapText="1" readingOrder="1"/>
    </xf>
    <xf numFmtId="0" fontId="7" fillId="10" borderId="13" xfId="0" applyFont="1" applyFill="1" applyBorder="1" applyAlignment="1">
      <alignment horizontal="left" vertical="center" wrapText="1" indent="1" readingOrder="1"/>
    </xf>
    <xf numFmtId="0" fontId="1" fillId="13" borderId="13" xfId="0" applyFont="1" applyFill="1" applyBorder="1" applyAlignment="1">
      <alignment horizontal="right" vertical="center" wrapText="1" indent="1"/>
    </xf>
    <xf numFmtId="0" fontId="21" fillId="13" borderId="13" xfId="0" applyFont="1" applyFill="1" applyBorder="1" applyAlignment="1">
      <alignment horizontal="left" vertical="center" wrapText="1" indent="1" readingOrder="1"/>
    </xf>
    <xf numFmtId="0" fontId="21" fillId="13" borderId="13" xfId="0" applyFont="1" applyFill="1" applyBorder="1" applyAlignment="1">
      <alignment horizontal="center" vertical="center" wrapText="1" readingOrder="1"/>
    </xf>
    <xf numFmtId="0" fontId="22" fillId="0" borderId="15" xfId="0" applyFont="1" applyBorder="1" applyAlignment="1">
      <alignment horizontal="center" vertical="center" wrapText="1" readingOrder="1"/>
    </xf>
    <xf numFmtId="0" fontId="22" fillId="0" borderId="15" xfId="0" applyFont="1" applyBorder="1" applyAlignment="1">
      <alignment horizontal="left" vertical="center" wrapText="1" readingOrder="1"/>
    </xf>
    <xf numFmtId="0" fontId="22" fillId="0" borderId="14" xfId="0" applyFont="1" applyBorder="1" applyAlignment="1">
      <alignment horizontal="center" vertical="center" wrapText="1" readingOrder="1"/>
    </xf>
    <xf numFmtId="0" fontId="22" fillId="0" borderId="14" xfId="0" applyFont="1" applyBorder="1" applyAlignment="1">
      <alignment horizontal="left" vertical="center" wrapText="1" readingOrder="1"/>
    </xf>
    <xf numFmtId="0" fontId="22" fillId="0" borderId="14" xfId="0" applyFont="1" applyBorder="1" applyAlignment="1">
      <alignment horizontal="center" wrapText="1" readingOrder="1"/>
    </xf>
    <xf numFmtId="0" fontId="24" fillId="0" borderId="14" xfId="0" applyFont="1" applyBorder="1" applyAlignment="1">
      <alignment horizontal="center" vertical="center" wrapText="1" readingOrder="1"/>
    </xf>
    <xf numFmtId="0" fontId="22" fillId="15" borderId="14" xfId="0" applyFont="1" applyFill="1" applyBorder="1" applyAlignment="1">
      <alignment horizontal="left" vertical="center" wrapText="1" readingOrder="1"/>
    </xf>
    <xf numFmtId="0" fontId="22" fillId="15" borderId="14" xfId="0" applyFont="1" applyFill="1" applyBorder="1" applyAlignment="1">
      <alignment horizontal="center" wrapText="1" readingOrder="1"/>
    </xf>
    <xf numFmtId="0" fontId="22" fillId="15" borderId="16" xfId="0" applyFont="1" applyFill="1" applyBorder="1" applyAlignment="1">
      <alignment horizontal="center" wrapText="1" readingOrder="1"/>
    </xf>
    <xf numFmtId="0" fontId="22" fillId="0" borderId="16" xfId="0" applyFont="1" applyBorder="1" applyAlignment="1">
      <alignment horizontal="center" wrapText="1" readingOrder="1"/>
    </xf>
    <xf numFmtId="0" fontId="25" fillId="16" borderId="15" xfId="0" applyFont="1" applyFill="1" applyBorder="1" applyAlignment="1">
      <alignment horizontal="center" vertical="center" wrapText="1" readingOrder="1"/>
    </xf>
    <xf numFmtId="0" fontId="25" fillId="16" borderId="14" xfId="0" applyFont="1" applyFill="1" applyBorder="1" applyAlignment="1">
      <alignment horizontal="center" vertical="center" wrapText="1" readingOrder="1"/>
    </xf>
    <xf numFmtId="0" fontId="26" fillId="16" borderId="14" xfId="0" applyFont="1" applyFill="1" applyBorder="1" applyAlignment="1">
      <alignment horizontal="center" vertical="center" wrapText="1" readingOrder="1"/>
    </xf>
    <xf numFmtId="0" fontId="27" fillId="0" borderId="14" xfId="0" applyFont="1" applyBorder="1" applyAlignment="1">
      <alignment horizontal="center" vertical="center" wrapText="1" readingOrder="1"/>
    </xf>
    <xf numFmtId="0" fontId="28" fillId="0" borderId="14" xfId="0" applyFont="1" applyBorder="1" applyAlignment="1">
      <alignment horizontal="left" vertical="center" wrapText="1" readingOrder="1"/>
    </xf>
    <xf numFmtId="0" fontId="29" fillId="0" borderId="14" xfId="0" applyFont="1" applyBorder="1" applyAlignment="1">
      <alignment horizontal="center" wrapText="1" readingOrder="1"/>
    </xf>
    <xf numFmtId="0" fontId="32" fillId="16" borderId="15" xfId="0" applyFont="1" applyFill="1" applyBorder="1" applyAlignment="1">
      <alignment horizontal="center" vertical="center" wrapText="1" readingOrder="1"/>
    </xf>
    <xf numFmtId="0" fontId="25" fillId="17" borderId="17" xfId="0" applyFont="1" applyFill="1" applyBorder="1" applyAlignment="1">
      <alignment horizontal="center" vertical="center" wrapText="1" readingOrder="1"/>
    </xf>
    <xf numFmtId="0" fontId="25" fillId="0" borderId="15" xfId="0" applyFont="1" applyBorder="1" applyAlignment="1">
      <alignment horizontal="center" vertical="center" wrapText="1" readingOrder="1"/>
    </xf>
    <xf numFmtId="0" fontId="25" fillId="17" borderId="15" xfId="0" applyFont="1" applyFill="1" applyBorder="1" applyAlignment="1">
      <alignment horizontal="center" vertical="center" wrapText="1" readingOrder="1"/>
    </xf>
    <xf numFmtId="0" fontId="25" fillId="17" borderId="18" xfId="0" applyFont="1" applyFill="1" applyBorder="1" applyAlignment="1">
      <alignment horizontal="center" vertical="center" wrapText="1" readingOrder="1"/>
    </xf>
    <xf numFmtId="0" fontId="25" fillId="17" borderId="15" xfId="0" applyFont="1" applyFill="1" applyBorder="1" applyAlignment="1">
      <alignment horizontal="left" vertical="center" wrapText="1" indent="1" readingOrder="1"/>
    </xf>
    <xf numFmtId="0" fontId="25" fillId="0" borderId="15" xfId="0" applyFont="1" applyBorder="1" applyAlignment="1">
      <alignment horizontal="left" vertical="center" wrapText="1" indent="1" readingOrder="1"/>
    </xf>
    <xf numFmtId="0" fontId="31" fillId="0" borderId="15" xfId="0" applyFont="1" applyBorder="1" applyAlignment="1">
      <alignment horizontal="center" vertical="center" wrapText="1" readingOrder="1"/>
    </xf>
    <xf numFmtId="0" fontId="32" fillId="16" borderId="15" xfId="0" applyFont="1" applyFill="1" applyBorder="1" applyAlignment="1">
      <alignment vertical="center" wrapText="1" readingOrder="1"/>
    </xf>
    <xf numFmtId="0" fontId="33" fillId="13" borderId="19" xfId="0" applyFont="1" applyFill="1" applyBorder="1" applyAlignment="1">
      <alignment horizontal="center" vertical="top" wrapText="1" readingOrder="1"/>
    </xf>
    <xf numFmtId="0" fontId="33" fillId="13" borderId="19" xfId="0" applyFont="1" applyFill="1" applyBorder="1" applyAlignment="1">
      <alignment horizontal="center" vertical="center" wrapText="1" readingOrder="1"/>
    </xf>
    <xf numFmtId="0" fontId="33" fillId="14" borderId="20" xfId="0" applyFont="1" applyFill="1" applyBorder="1" applyAlignment="1">
      <alignment horizontal="center" vertical="top" wrapText="1" readingOrder="1"/>
    </xf>
    <xf numFmtId="0" fontId="34" fillId="14" borderId="20" xfId="0" applyFont="1" applyFill="1" applyBorder="1" applyAlignment="1">
      <alignment horizontal="center" vertical="top" wrapText="1" readingOrder="1"/>
    </xf>
    <xf numFmtId="0" fontId="35" fillId="11" borderId="13" xfId="0" applyFont="1" applyFill="1" applyBorder="1" applyAlignment="1">
      <alignment horizontal="center" vertical="center" wrapText="1" readingOrder="1"/>
    </xf>
    <xf numFmtId="0" fontId="36" fillId="13" borderId="13" xfId="0" applyFont="1" applyFill="1" applyBorder="1" applyAlignment="1">
      <alignment horizontal="center" vertical="center" wrapText="1" readingOrder="1"/>
    </xf>
    <xf numFmtId="0" fontId="37" fillId="13" borderId="13" xfId="0" applyFont="1" applyFill="1" applyBorder="1" applyAlignment="1">
      <alignment horizontal="left" vertical="center" wrapText="1" indent="1" readingOrder="1"/>
    </xf>
    <xf numFmtId="0" fontId="37" fillId="13" borderId="13" xfId="0" applyFont="1" applyFill="1" applyBorder="1" applyAlignment="1">
      <alignment horizontal="center" vertical="center" wrapText="1" readingOrder="1"/>
    </xf>
    <xf numFmtId="0" fontId="36" fillId="10" borderId="13" xfId="0" applyFont="1" applyFill="1" applyBorder="1" applyAlignment="1">
      <alignment horizontal="center" vertical="center" wrapText="1" readingOrder="1"/>
    </xf>
    <xf numFmtId="0" fontId="37" fillId="10" borderId="13" xfId="0" applyFont="1" applyFill="1" applyBorder="1" applyAlignment="1">
      <alignment horizontal="left" vertical="center" wrapText="1" indent="1" readingOrder="1"/>
    </xf>
    <xf numFmtId="0" fontId="37" fillId="10" borderId="13" xfId="0" applyFont="1" applyFill="1" applyBorder="1" applyAlignment="1">
      <alignment horizontal="center" vertical="center" wrapText="1" readingOrder="1"/>
    </xf>
    <xf numFmtId="0" fontId="30" fillId="13" borderId="13" xfId="0" applyFont="1" applyFill="1" applyBorder="1" applyAlignment="1">
      <alignment horizontal="right" vertical="center" wrapText="1" indent="1"/>
    </xf>
    <xf numFmtId="0" fontId="38" fillId="13" borderId="13" xfId="0" applyFont="1" applyFill="1" applyBorder="1" applyAlignment="1">
      <alignment horizontal="left" vertical="center" wrapText="1" indent="1" readingOrder="1"/>
    </xf>
    <xf numFmtId="0" fontId="38" fillId="13" borderId="13" xfId="0" applyFont="1" applyFill="1" applyBorder="1" applyAlignment="1">
      <alignment horizontal="center" vertical="center" wrapText="1" readingOrder="1"/>
    </xf>
    <xf numFmtId="0" fontId="39" fillId="18" borderId="15" xfId="0" applyFont="1" applyFill="1" applyBorder="1" applyAlignment="1">
      <alignment horizontal="center" vertical="center" wrapText="1" readingOrder="1"/>
    </xf>
    <xf numFmtId="0" fontId="39" fillId="18" borderId="15" xfId="0" applyFont="1" applyFill="1" applyBorder="1" applyAlignment="1">
      <alignment horizontal="left" vertical="center" wrapText="1" readingOrder="1"/>
    </xf>
    <xf numFmtId="0" fontId="29" fillId="0" borderId="14" xfId="0" applyFont="1" applyBorder="1" applyAlignment="1">
      <alignment horizontal="center" vertical="center" wrapText="1" readingOrder="1"/>
    </xf>
    <xf numFmtId="0" fontId="40" fillId="0" borderId="14" xfId="0" applyFont="1" applyBorder="1" applyAlignment="1">
      <alignment horizontal="left" vertical="center" wrapText="1" readingOrder="1"/>
    </xf>
    <xf numFmtId="0" fontId="41" fillId="0" borderId="14" xfId="0" applyFont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 readingOrder="1"/>
    </xf>
    <xf numFmtId="0" fontId="42" fillId="0" borderId="14" xfId="0" applyFont="1" applyBorder="1" applyAlignment="1">
      <alignment vertical="center" wrapText="1"/>
    </xf>
    <xf numFmtId="0" fontId="42" fillId="0" borderId="21" xfId="0" applyFont="1" applyBorder="1" applyAlignment="1">
      <alignment vertical="center" wrapText="1"/>
    </xf>
    <xf numFmtId="0" fontId="42" fillId="0" borderId="22" xfId="0" applyFont="1" applyBorder="1" applyAlignment="1">
      <alignment vertical="center" wrapText="1"/>
    </xf>
    <xf numFmtId="0" fontId="42" fillId="0" borderId="23" xfId="0" applyFont="1" applyBorder="1" applyAlignment="1">
      <alignment vertical="center" wrapText="1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A47D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C000"/>
              </a:solidFill>
            </c:spPr>
          </c:dPt>
          <c:dPt>
            <c:idx val="1"/>
            <c:bubble3D val="0"/>
            <c:spPr>
              <a:solidFill>
                <a:srgbClr val="0070C0"/>
              </a:solidFill>
            </c:spPr>
          </c:dPt>
          <c:dPt>
            <c:idx val="2"/>
            <c:bubble3D val="0"/>
            <c:spPr>
              <a:noFill/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ST 
Value = 123.3
66%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1"/>
              <c:tx>
                <c:rich>
                  <a:bodyPr/>
                  <a:lstStyle/>
                  <a:p>
                    <a:pPr>
                      <a:defRPr sz="1000" b="1">
                        <a:solidFill>
                          <a:schemeClr val="bg1"/>
                        </a:solidFill>
                        <a:latin typeface="Arial Black" pitchFamily="34" charset="0"/>
                        <a:cs typeface="Arial" pitchFamily="34" charset="0"/>
                      </a:defRPr>
                    </a:pPr>
                    <a:r>
                      <a:rPr lang="en-US" sz="1000" b="1">
                        <a:solidFill>
                          <a:schemeClr val="bg1"/>
                        </a:solidFill>
                        <a:latin typeface="Arial Black" pitchFamily="34" charset="0"/>
                        <a:cs typeface="Arial" pitchFamily="34" charset="0"/>
                      </a:rPr>
                      <a:t>MT 
Value = 61.57
34%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pPr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2"/>
              <c:layout>
                <c:manualLayout>
                  <c:x val="0"/>
                  <c:y val="-0.3127962085308057"/>
                </c:manualLayout>
              </c:layout>
              <c:tx>
                <c:rich>
                  <a:bodyPr/>
                  <a:lstStyle/>
                  <a:p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Total</a:t>
                    </a:r>
                    <a:r>
                      <a:rPr lang="en-US" sz="1000" b="1" baseline="0">
                        <a:latin typeface="Arial Black" pitchFamily="34" charset="0"/>
                        <a:cs typeface="Arial" pitchFamily="34" charset="0"/>
                      </a:rPr>
                      <a:t> </a:t>
                    </a:r>
                  </a:p>
                  <a:p>
                    <a:r>
                      <a:rPr lang="en-US" sz="1000" b="1" baseline="0">
                        <a:latin typeface="Arial Black" pitchFamily="34" charset="0"/>
                        <a:cs typeface="Arial" pitchFamily="34" charset="0"/>
                      </a:rPr>
                      <a:t>Value = </a:t>
                    </a:r>
                    <a:r>
                      <a:rPr lang="en-US" sz="1000" b="1">
                        <a:latin typeface="Arial Black" pitchFamily="34" charset="0"/>
                        <a:cs typeface="Arial" pitchFamily="34" charset="0"/>
                      </a:rPr>
                      <a:t>184.87
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txPr>
              <a:bodyPr/>
              <a:lstStyle/>
              <a:p>
                <a:pPr>
                  <a:defRPr sz="1000" b="1">
                    <a:latin typeface="Arial Black" pitchFamily="34" charset="0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(Sheet1!$F$1,Sheet1!$H$1,Sheet1!$J$1)</c:f>
              <c:strCache>
                <c:ptCount val="3"/>
                <c:pt idx="0">
                  <c:v>ST </c:v>
                </c:pt>
                <c:pt idx="1">
                  <c:v>MT </c:v>
                </c:pt>
                <c:pt idx="2">
                  <c:v>total</c:v>
                </c:pt>
              </c:strCache>
            </c:strRef>
          </c:cat>
          <c:val>
            <c:numRef>
              <c:f>(Sheet1!$F$10,Sheet1!$H$10,Sheet1!$J$10)</c:f>
              <c:numCache>
                <c:formatCode>General</c:formatCode>
                <c:ptCount val="3"/>
                <c:pt idx="0">
                  <c:v>123.3</c:v>
                </c:pt>
                <c:pt idx="1">
                  <c:v>61.569999999999993</c:v>
                </c:pt>
                <c:pt idx="2">
                  <c:v>184.87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IDST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77</c:v>
                </c:pt>
                <c:pt idx="3">
                  <c:v>88</c:v>
                </c:pt>
              </c:numCache>
            </c:numRef>
          </c:val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IUST 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Direct order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Sheet2!$E$2:$E$5</c:f>
              <c:numCache>
                <c:formatCode>General</c:formatCode>
                <c:ptCount val="4"/>
                <c:pt idx="0">
                  <c:v>10</c:v>
                </c:pt>
                <c:pt idx="1">
                  <c:v>28</c:v>
                </c:pt>
                <c:pt idx="2">
                  <c:v>23</c:v>
                </c:pt>
                <c:pt idx="3">
                  <c:v>43</c:v>
                </c:pt>
              </c:numCache>
            </c:numRef>
          </c:val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Sheet2!$B$2:$B$5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</c:strCache>
            </c:strRef>
          </c:cat>
          <c:val>
            <c:numRef>
              <c:f>Sheet2!$F$2:$F$5</c:f>
              <c:numCache>
                <c:formatCode>General</c:formatCode>
                <c:ptCount val="4"/>
                <c:pt idx="0">
                  <c:v>44</c:v>
                </c:pt>
                <c:pt idx="1">
                  <c:v>71</c:v>
                </c:pt>
                <c:pt idx="2">
                  <c:v>105</c:v>
                </c:pt>
                <c:pt idx="3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100"/>
        <c:axId val="199386624"/>
        <c:axId val="199388160"/>
      </c:barChart>
      <c:catAx>
        <c:axId val="199386624"/>
        <c:scaling>
          <c:orientation val="minMax"/>
        </c:scaling>
        <c:delete val="0"/>
        <c:axPos val="l"/>
        <c:majorTickMark val="out"/>
        <c:minorTickMark val="none"/>
        <c:tickLblPos val="nextTo"/>
        <c:crossAx val="199388160"/>
        <c:crosses val="autoZero"/>
        <c:auto val="1"/>
        <c:lblAlgn val="ctr"/>
        <c:lblOffset val="100"/>
        <c:noMultiLvlLbl val="0"/>
      </c:catAx>
      <c:valAx>
        <c:axId val="199388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9938662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IDST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Sheet3!$C$2:$C$5</c:f>
              <c:numCache>
                <c:formatCode>General</c:formatCode>
                <c:ptCount val="4"/>
                <c:pt idx="0">
                  <c:v>148</c:v>
                </c:pt>
                <c:pt idx="1">
                  <c:v>149</c:v>
                </c:pt>
                <c:pt idx="2">
                  <c:v>37.04</c:v>
                </c:pt>
                <c:pt idx="3">
                  <c:v>49.78</c:v>
                </c:pt>
              </c:numCache>
            </c:numRef>
          </c:val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IUST 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Sheet3!$D$2:$D$5</c:f>
              <c:numCache>
                <c:formatCode>General</c:formatCode>
                <c:ptCount val="4"/>
                <c:pt idx="0">
                  <c:v>10</c:v>
                </c:pt>
                <c:pt idx="1">
                  <c:v>9.8000000000000007</c:v>
                </c:pt>
                <c:pt idx="2">
                  <c:v>2.59</c:v>
                </c:pt>
                <c:pt idx="3">
                  <c:v>3.05</c:v>
                </c:pt>
              </c:numCache>
            </c:numRef>
          </c:val>
        </c:ser>
        <c:ser>
          <c:idx val="2"/>
          <c:order val="2"/>
          <c:tx>
            <c:strRef>
              <c:f>Sheet3!$E$1</c:f>
              <c:strCache>
                <c:ptCount val="1"/>
                <c:pt idx="0">
                  <c:v>Direct order</c:v>
                </c:pt>
              </c:strCache>
            </c:strRef>
          </c:tx>
          <c:invertIfNegative val="0"/>
          <c:cat>
            <c:strRef>
              <c:f>Sheet3!$B$2:$B$5</c:f>
              <c:strCache>
                <c:ptCount val="4"/>
                <c:pt idx="0">
                  <c:v>2024-25
(Planned Acquisition)</c:v>
                </c:pt>
                <c:pt idx="1">
                  <c:v>2024-25
(Planned Sales)</c:v>
                </c:pt>
                <c:pt idx="2">
                  <c:v>2024-25
(As On Nov 2024 Acquired)</c:v>
                </c:pt>
                <c:pt idx="3">
                  <c:v>2024-25
(As On Nov 2024 Sales)</c:v>
                </c:pt>
              </c:strCache>
            </c:strRef>
          </c:cat>
          <c:val>
            <c:numRef>
              <c:f>Sheet3!$E$2:$E$5</c:f>
              <c:numCache>
                <c:formatCode>General</c:formatCode>
                <c:ptCount val="4"/>
                <c:pt idx="0">
                  <c:v>1063</c:v>
                </c:pt>
                <c:pt idx="1">
                  <c:v>146</c:v>
                </c:pt>
                <c:pt idx="2">
                  <c:v>41.18</c:v>
                </c:pt>
                <c:pt idx="3">
                  <c:v>26.18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59584"/>
        <c:axId val="199461120"/>
      </c:barChart>
      <c:catAx>
        <c:axId val="19945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99461120"/>
        <c:crosses val="autoZero"/>
        <c:auto val="1"/>
        <c:lblAlgn val="ctr"/>
        <c:lblOffset val="100"/>
        <c:noMultiLvlLbl val="0"/>
      </c:catAx>
      <c:valAx>
        <c:axId val="19946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45958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UDI (Unique Digital Identity) – Africa + Latin America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Sheet4!$C$2:$H$2</c:f>
              <c:numCache>
                <c:formatCode>General</c:formatCode>
                <c:ptCount val="6"/>
                <c:pt idx="0">
                  <c:v>140</c:v>
                </c:pt>
                <c:pt idx="1">
                  <c:v>150</c:v>
                </c:pt>
                <c:pt idx="2">
                  <c:v>170</c:v>
                </c:pt>
                <c:pt idx="3">
                  <c:v>200</c:v>
                </c:pt>
                <c:pt idx="4">
                  <c:v>230</c:v>
                </c:pt>
                <c:pt idx="5">
                  <c:v>300</c:v>
                </c:pt>
              </c:numCache>
            </c:numRef>
          </c:val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PAT (OMAN), Simulators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Sheet4!$C$3:$H$3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</c:ser>
        <c:ser>
          <c:idx val="2"/>
          <c:order val="2"/>
          <c:tx>
            <c:strRef>
              <c:f>Sheet4!$B$4</c:f>
              <c:strCache>
                <c:ptCount val="1"/>
                <c:pt idx="0">
                  <c:v>IV&amp;V, Custom SW Development</c:v>
                </c:pt>
              </c:strCache>
            </c:strRef>
          </c:tx>
          <c:invertIfNegative val="0"/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Sheet4!$C$4:$H$4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85</c:v>
                </c:pt>
                <c:pt idx="5">
                  <c:v>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829376"/>
        <c:axId val="199830912"/>
      </c:barChart>
      <c:lineChart>
        <c:grouping val="standard"/>
        <c:varyColors val="0"/>
        <c:ser>
          <c:idx val="3"/>
          <c:order val="3"/>
          <c:tx>
            <c:strRef>
              <c:f>Sheet4!$B$5</c:f>
              <c:strCache>
                <c:ptCount val="1"/>
                <c:pt idx="0">
                  <c:v>Total in Million USD</c:v>
                </c:pt>
              </c:strCache>
            </c:strRef>
          </c:tx>
          <c:marker>
            <c:symbol val="none"/>
          </c:marker>
          <c:cat>
            <c:strRef>
              <c:f>Sheet4!$C$1:$H$1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Sheet4!$C$5:$H$5</c:f>
              <c:numCache>
                <c:formatCode>General</c:formatCode>
                <c:ptCount val="6"/>
                <c:pt idx="0">
                  <c:v>18.5</c:v>
                </c:pt>
                <c:pt idx="1">
                  <c:v>18.8</c:v>
                </c:pt>
                <c:pt idx="2">
                  <c:v>22.3</c:v>
                </c:pt>
                <c:pt idx="3">
                  <c:v>28.2</c:v>
                </c:pt>
                <c:pt idx="4">
                  <c:v>41.8</c:v>
                </c:pt>
                <c:pt idx="5">
                  <c:v>59.6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54720"/>
        <c:axId val="199853184"/>
      </c:lineChart>
      <c:catAx>
        <c:axId val="199829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99830912"/>
        <c:crosses val="autoZero"/>
        <c:auto val="1"/>
        <c:lblAlgn val="ctr"/>
        <c:lblOffset val="100"/>
        <c:noMultiLvlLbl val="0"/>
      </c:catAx>
      <c:valAx>
        <c:axId val="19983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829376"/>
        <c:crosses val="autoZero"/>
        <c:crossBetween val="between"/>
      </c:valAx>
      <c:valAx>
        <c:axId val="199853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9854720"/>
        <c:crosses val="max"/>
        <c:crossBetween val="between"/>
      </c:valAx>
      <c:catAx>
        <c:axId val="199854720"/>
        <c:scaling>
          <c:orientation val="minMax"/>
        </c:scaling>
        <c:delete val="1"/>
        <c:axPos val="b"/>
        <c:majorTickMark val="out"/>
        <c:minorTickMark val="none"/>
        <c:tickLblPos val="nextTo"/>
        <c:crossAx val="1998531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[1]Sheet1!$B$2:$B$6</c:f>
              <c:strCache>
                <c:ptCount val="5"/>
                <c:pt idx="0">
                  <c:v>1st Apr 2020</c:v>
                </c:pt>
                <c:pt idx="1">
                  <c:v>1st Apr 2021</c:v>
                </c:pt>
                <c:pt idx="2">
                  <c:v>1st Apr 2022</c:v>
                </c:pt>
                <c:pt idx="3">
                  <c:v>1st Apr 2023</c:v>
                </c:pt>
                <c:pt idx="4">
                  <c:v>1st Apr 2024</c:v>
                </c:pt>
              </c:strCache>
            </c:strRef>
          </c:cat>
          <c:val>
            <c:numRef>
              <c:f>[1]Sheet1!$C$2:$C$6</c:f>
              <c:numCache>
                <c:formatCode>General</c:formatCode>
                <c:ptCount val="5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book positin &amp; Exec'!$E$1</c:f>
              <c:strCache>
                <c:ptCount val="1"/>
                <c:pt idx="0">
                  <c:v>Orders Executed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'order book positin &amp; Exec'!$D$2:$D$6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
(as on Nov 2024)</c:v>
                </c:pt>
              </c:strCache>
            </c:strRef>
          </c:cat>
          <c:val>
            <c:numRef>
              <c:f>'order book positin &amp; Exec'!$E$2:$E$6</c:f>
              <c:numCache>
                <c:formatCode>General</c:formatCode>
                <c:ptCount val="5"/>
                <c:pt idx="0">
                  <c:v>10</c:v>
                </c:pt>
                <c:pt idx="1">
                  <c:v>28</c:v>
                </c:pt>
                <c:pt idx="2">
                  <c:v>23</c:v>
                </c:pt>
                <c:pt idx="3">
                  <c:v>43</c:v>
                </c:pt>
                <c:pt idx="4">
                  <c:v>26.16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946624"/>
        <c:axId val="199948160"/>
      </c:barChart>
      <c:lineChart>
        <c:grouping val="standard"/>
        <c:varyColors val="0"/>
        <c:ser>
          <c:idx val="1"/>
          <c:order val="1"/>
          <c:tx>
            <c:strRef>
              <c:f>'order book positin &amp; Exec'!$G$1</c:f>
              <c:strCache>
                <c:ptCount val="1"/>
                <c:pt idx="0">
                  <c:v>Y.O.Y Growth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Pt>
            <c:idx val="4"/>
            <c:bubble3D val="0"/>
            <c:spPr>
              <a:ln>
                <a:noFill/>
              </a:ln>
            </c:spPr>
          </c:dPt>
          <c:dLbls>
            <c:dLbl>
              <c:idx val="0"/>
              <c:delete val="1"/>
            </c:dLbl>
            <c:dLbl>
              <c:idx val="2"/>
              <c:layout>
                <c:manualLayout>
                  <c:x val="-2.7206645898234683E-2"/>
                  <c:y val="2.8245969253843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delete val="1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'order book positin &amp; Exec'!$D$2:$D$6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
(as on Nov 2024)</c:v>
                </c:pt>
              </c:strCache>
            </c:strRef>
          </c:cat>
          <c:val>
            <c:numRef>
              <c:f>'order book positin &amp; Exec'!$G$2:$G$6</c:f>
              <c:numCache>
                <c:formatCode>0</c:formatCode>
                <c:ptCount val="5"/>
                <c:pt idx="0" formatCode="General">
                  <c:v>0</c:v>
                </c:pt>
                <c:pt idx="1">
                  <c:v>180</c:v>
                </c:pt>
                <c:pt idx="2">
                  <c:v>-17.857142857142858</c:v>
                </c:pt>
                <c:pt idx="3">
                  <c:v>86.956521739130437</c:v>
                </c:pt>
                <c:pt idx="4">
                  <c:v>-39.162790697674417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46624"/>
        <c:axId val="199948160"/>
      </c:lineChart>
      <c:catAx>
        <c:axId val="1999466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199948160"/>
        <c:crosses val="autoZero"/>
        <c:auto val="1"/>
        <c:lblAlgn val="ctr"/>
        <c:lblOffset val="100"/>
        <c:noMultiLvlLbl val="0"/>
      </c:catAx>
      <c:valAx>
        <c:axId val="19994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94662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book positin &amp; Exec'!$E$11</c:f>
              <c:strCache>
                <c:ptCount val="1"/>
                <c:pt idx="0">
                  <c:v>Order Book Position (Direct Orders)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'order book positin &amp; Exec'!$D$12:$D$17</c:f>
              <c:strCache>
                <c:ptCount val="6"/>
                <c:pt idx="0">
                  <c:v>1st April
2020</c:v>
                </c:pt>
                <c:pt idx="1">
                  <c:v>1st April
2021</c:v>
                </c:pt>
                <c:pt idx="2">
                  <c:v>1st April
2022</c:v>
                </c:pt>
                <c:pt idx="3">
                  <c:v>1st April
2023</c:v>
                </c:pt>
                <c:pt idx="4">
                  <c:v>1st April
2024</c:v>
                </c:pt>
                <c:pt idx="5">
                  <c:v>2024
(as on Nov 2024)</c:v>
                </c:pt>
              </c:strCache>
            </c:strRef>
          </c:cat>
          <c:val>
            <c:numRef>
              <c:f>'order book positin &amp; Exec'!$E$12:$E$17</c:f>
              <c:numCache>
                <c:formatCode>General</c:formatCode>
                <c:ptCount val="6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  <c:pt idx="5">
                  <c:v>74.040000000000006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320512"/>
        <c:axId val="200322048"/>
      </c:barChart>
      <c:catAx>
        <c:axId val="20032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322048"/>
        <c:crosses val="autoZero"/>
        <c:auto val="1"/>
        <c:lblAlgn val="ctr"/>
        <c:lblOffset val="100"/>
        <c:noMultiLvlLbl val="0"/>
      </c:catAx>
      <c:valAx>
        <c:axId val="20032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32051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'exec plan'!$B$2</c:f>
              <c:strCache>
                <c:ptCount val="1"/>
                <c:pt idx="0">
                  <c:v>SW Business (Direct)</c:v>
                </c:pt>
              </c:strCache>
            </c:strRef>
          </c:tx>
          <c:invertIfNegative val="0"/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plan'!$C$2:$G$2</c:f>
              <c:numCache>
                <c:formatCode>General</c:formatCode>
                <c:ptCount val="5"/>
                <c:pt idx="0">
                  <c:v>200</c:v>
                </c:pt>
                <c:pt idx="1">
                  <c:v>280</c:v>
                </c:pt>
                <c:pt idx="2">
                  <c:v>350</c:v>
                </c:pt>
                <c:pt idx="3">
                  <c:v>550</c:v>
                </c:pt>
                <c:pt idx="4">
                  <c:v>675</c:v>
                </c:pt>
              </c:numCache>
            </c:numRef>
          </c:val>
        </c:ser>
        <c:ser>
          <c:idx val="1"/>
          <c:order val="1"/>
          <c:tx>
            <c:strRef>
              <c:f>'exec plan'!$B$3</c:f>
              <c:strCache>
                <c:ptCount val="1"/>
                <c:pt idx="0">
                  <c:v>IDST/IUST</c:v>
                </c:pt>
              </c:strCache>
            </c:strRef>
          </c:tx>
          <c:invertIfNegative val="0"/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plan'!$C$3:$G$3</c:f>
              <c:numCache>
                <c:formatCode>General</c:formatCode>
                <c:ptCount val="5"/>
                <c:pt idx="0">
                  <c:v>145</c:v>
                </c:pt>
                <c:pt idx="1">
                  <c:v>155</c:v>
                </c:pt>
                <c:pt idx="2">
                  <c:v>170</c:v>
                </c:pt>
                <c:pt idx="3">
                  <c:v>200</c:v>
                </c:pt>
                <c:pt idx="4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357376"/>
        <c:axId val="200358912"/>
      </c:barChart>
      <c:lineChart>
        <c:grouping val="standard"/>
        <c:varyColors val="0"/>
        <c:ser>
          <c:idx val="2"/>
          <c:order val="2"/>
          <c:tx>
            <c:strRef>
              <c:f>'exec plan'!$B$4</c:f>
              <c:strCache>
                <c:ptCount val="1"/>
                <c:pt idx="0">
                  <c:v>Total Turnover</c:v>
                </c:pt>
              </c:strCache>
            </c:strRef>
          </c:tx>
          <c:marker>
            <c:symbol val="none"/>
          </c:marker>
          <c:cat>
            <c:strRef>
              <c:f>'exec plan'!$C$1:$G$1</c:f>
              <c:strCache>
                <c:ptCount val="5"/>
                <c:pt idx="0">
                  <c:v>2025-26</c:v>
                </c:pt>
                <c:pt idx="1">
                  <c:v>2026-27</c:v>
                </c:pt>
                <c:pt idx="2">
                  <c:v>2027-28</c:v>
                </c:pt>
                <c:pt idx="3">
                  <c:v>2028-29</c:v>
                </c:pt>
                <c:pt idx="4">
                  <c:v>2029-30</c:v>
                </c:pt>
              </c:strCache>
            </c:strRef>
          </c:cat>
          <c:val>
            <c:numRef>
              <c:f>'exec plan'!$C$4:$G$4</c:f>
              <c:numCache>
                <c:formatCode>General</c:formatCode>
                <c:ptCount val="5"/>
                <c:pt idx="0">
                  <c:v>345</c:v>
                </c:pt>
                <c:pt idx="1">
                  <c:v>435</c:v>
                </c:pt>
                <c:pt idx="2">
                  <c:v>520</c:v>
                </c:pt>
                <c:pt idx="3">
                  <c:v>750</c:v>
                </c:pt>
                <c:pt idx="4">
                  <c:v>1025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57376"/>
        <c:axId val="200358912"/>
      </c:lineChart>
      <c:catAx>
        <c:axId val="200357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0358912"/>
        <c:crosses val="autoZero"/>
        <c:auto val="1"/>
        <c:lblAlgn val="ctr"/>
        <c:lblOffset val="100"/>
        <c:noMultiLvlLbl val="0"/>
      </c:catAx>
      <c:valAx>
        <c:axId val="2003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3573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SW Business (Direct)</c:v>
                </c:pt>
              </c:strCache>
            </c:strRef>
          </c:tx>
          <c:invertIfNegative val="0"/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Sheet5!$C$2:$H$2</c:f>
              <c:numCache>
                <c:formatCode>General</c:formatCode>
                <c:ptCount val="6"/>
                <c:pt idx="0">
                  <c:v>1063</c:v>
                </c:pt>
                <c:pt idx="1">
                  <c:v>320</c:v>
                </c:pt>
                <c:pt idx="2">
                  <c:v>500</c:v>
                </c:pt>
                <c:pt idx="3">
                  <c:v>720</c:v>
                </c:pt>
                <c:pt idx="4">
                  <c:v>1020</c:v>
                </c:pt>
                <c:pt idx="5">
                  <c:v>1485</c:v>
                </c:pt>
              </c:numCache>
            </c:numRef>
          </c:val>
        </c:ser>
        <c:ser>
          <c:idx val="1"/>
          <c:order val="1"/>
          <c:tx>
            <c:strRef>
              <c:f>Sheet5!$B$3</c:f>
              <c:strCache>
                <c:ptCount val="1"/>
                <c:pt idx="0">
                  <c:v>IDST/IUST</c:v>
                </c:pt>
              </c:strCache>
            </c:strRef>
          </c:tx>
          <c:invertIfNegative val="0"/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Sheet5!$C$3:$H$3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25728"/>
        <c:axId val="173925120"/>
      </c:barChart>
      <c:lineChart>
        <c:grouping val="standard"/>
        <c:varyColors val="0"/>
        <c:ser>
          <c:idx val="2"/>
          <c:order val="2"/>
          <c:tx>
            <c:strRef>
              <c:f>Sheet5!$B$4</c:f>
              <c:strCache>
                <c:ptCount val="1"/>
                <c:pt idx="0">
                  <c:v>Total Turnover</c:v>
                </c:pt>
              </c:strCache>
            </c:strRef>
          </c:tx>
          <c:marker>
            <c:symbol val="none"/>
          </c:marker>
          <c:cat>
            <c:strRef>
              <c:f>Sheet5!$C$1:$H$1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Sheet5!$C$4:$H$4</c:f>
              <c:numCache>
                <c:formatCode>General</c:formatCode>
                <c:ptCount val="6"/>
                <c:pt idx="0">
                  <c:v>1218</c:v>
                </c:pt>
                <c:pt idx="1">
                  <c:v>480</c:v>
                </c:pt>
                <c:pt idx="2">
                  <c:v>690</c:v>
                </c:pt>
                <c:pt idx="3">
                  <c:v>960</c:v>
                </c:pt>
                <c:pt idx="4">
                  <c:v>1370</c:v>
                </c:pt>
                <c:pt idx="5">
                  <c:v>1985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25728"/>
        <c:axId val="173925120"/>
      </c:lineChart>
      <c:catAx>
        <c:axId val="199625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73925120"/>
        <c:crosses val="autoZero"/>
        <c:auto val="1"/>
        <c:lblAlgn val="ctr"/>
        <c:lblOffset val="100"/>
        <c:noMultiLvlLbl val="0"/>
      </c:catAx>
      <c:valAx>
        <c:axId val="17392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62572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Sheet7!$D$2</c:f>
              <c:strCache>
                <c:ptCount val="1"/>
                <c:pt idx="0">
                  <c:v>Overall Available Business</c:v>
                </c:pt>
              </c:strCache>
            </c:strRef>
          </c:tx>
          <c:invertIfNegative val="0"/>
          <c:cat>
            <c:strRef>
              <c:f>Sheet7!$C$3:$C$13</c:f>
              <c:strCache>
                <c:ptCount val="11"/>
                <c:pt idx="0">
                  <c:v>Digital 
Transformation
(Digital Identity, Blockchain, Other IT Projects)</c:v>
                </c:pt>
                <c:pt idx="1">
                  <c:v>Cloud Services 
(MSP)</c:v>
                </c:pt>
                <c:pt idx="2">
                  <c:v>BFSI</c:v>
                </c:pt>
                <c:pt idx="3">
                  <c:v>B2B Projects</c:v>
                </c:pt>
                <c:pt idx="4">
                  <c:v>HMIS</c:v>
                </c:pt>
                <c:pt idx="5">
                  <c:v>ERP</c:v>
                </c:pt>
                <c:pt idx="6">
                  <c:v>DRDO Projects</c:v>
                </c:pt>
                <c:pt idx="7">
                  <c:v>Defence Projects</c:v>
                </c:pt>
                <c:pt idx="8">
                  <c:v>AI/ML</c:v>
                </c:pt>
                <c:pt idx="9">
                  <c:v>Simulation
 Platforms</c:v>
                </c:pt>
                <c:pt idx="10">
                  <c:v>Digital Agriculture</c:v>
                </c:pt>
              </c:strCache>
            </c:strRef>
          </c:cat>
          <c:val>
            <c:numRef>
              <c:f>Sheet7!$D$3:$D$13</c:f>
              <c:numCache>
                <c:formatCode>General</c:formatCode>
                <c:ptCount val="11"/>
                <c:pt idx="0">
                  <c:v>5135</c:v>
                </c:pt>
                <c:pt idx="1">
                  <c:v>1030</c:v>
                </c:pt>
                <c:pt idx="2">
                  <c:v>2464</c:v>
                </c:pt>
                <c:pt idx="3">
                  <c:v>2900</c:v>
                </c:pt>
                <c:pt idx="4">
                  <c:v>2740</c:v>
                </c:pt>
                <c:pt idx="5">
                  <c:v>2050</c:v>
                </c:pt>
                <c:pt idx="6">
                  <c:v>1440</c:v>
                </c:pt>
                <c:pt idx="7">
                  <c:v>1500</c:v>
                </c:pt>
                <c:pt idx="8">
                  <c:v>615</c:v>
                </c:pt>
                <c:pt idx="9">
                  <c:v>720</c:v>
                </c:pt>
                <c:pt idx="10">
                  <c:v>850</c:v>
                </c:pt>
              </c:numCache>
            </c:numRef>
          </c:val>
        </c:ser>
        <c:ser>
          <c:idx val="1"/>
          <c:order val="1"/>
          <c:tx>
            <c:strRef>
              <c:f>Sheet7!$E$2</c:f>
              <c:strCache>
                <c:ptCount val="1"/>
                <c:pt idx="0">
                  <c:v>Overall Addressable by BEL (2025-2030)</c:v>
                </c:pt>
              </c:strCache>
            </c:strRef>
          </c:tx>
          <c:invertIfNegative val="0"/>
          <c:cat>
            <c:strRef>
              <c:f>Sheet7!$C$3:$C$13</c:f>
              <c:strCache>
                <c:ptCount val="11"/>
                <c:pt idx="0">
                  <c:v>Digital 
Transformation
(Digital Identity, Blockchain, Other IT Projects)</c:v>
                </c:pt>
                <c:pt idx="1">
                  <c:v>Cloud Services 
(MSP)</c:v>
                </c:pt>
                <c:pt idx="2">
                  <c:v>BFSI</c:v>
                </c:pt>
                <c:pt idx="3">
                  <c:v>B2B Projects</c:v>
                </c:pt>
                <c:pt idx="4">
                  <c:v>HMIS</c:v>
                </c:pt>
                <c:pt idx="5">
                  <c:v>ERP</c:v>
                </c:pt>
                <c:pt idx="6">
                  <c:v>DRDO Projects</c:v>
                </c:pt>
                <c:pt idx="7">
                  <c:v>Defence Projects</c:v>
                </c:pt>
                <c:pt idx="8">
                  <c:v>AI/ML</c:v>
                </c:pt>
                <c:pt idx="9">
                  <c:v>Simulation
 Platforms</c:v>
                </c:pt>
                <c:pt idx="10">
                  <c:v>Digital Agriculture</c:v>
                </c:pt>
              </c:strCache>
            </c:strRef>
          </c:cat>
          <c:val>
            <c:numRef>
              <c:f>Sheet7!$E$3:$E$13</c:f>
              <c:numCache>
                <c:formatCode>General</c:formatCode>
                <c:ptCount val="11"/>
                <c:pt idx="0">
                  <c:v>795</c:v>
                </c:pt>
                <c:pt idx="1">
                  <c:v>150</c:v>
                </c:pt>
                <c:pt idx="2">
                  <c:v>672</c:v>
                </c:pt>
                <c:pt idx="3">
                  <c:v>813</c:v>
                </c:pt>
                <c:pt idx="4">
                  <c:v>380</c:v>
                </c:pt>
                <c:pt idx="5">
                  <c:v>133</c:v>
                </c:pt>
                <c:pt idx="6">
                  <c:v>245</c:v>
                </c:pt>
                <c:pt idx="7">
                  <c:v>240</c:v>
                </c:pt>
                <c:pt idx="8">
                  <c:v>91</c:v>
                </c:pt>
                <c:pt idx="9">
                  <c:v>405</c:v>
                </c:pt>
                <c:pt idx="10">
                  <c:v>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755648"/>
        <c:axId val="199757184"/>
        <c:axId val="0"/>
      </c:bar3DChart>
      <c:catAx>
        <c:axId val="199755648"/>
        <c:scaling>
          <c:orientation val="minMax"/>
        </c:scaling>
        <c:delete val="0"/>
        <c:axPos val="b"/>
        <c:majorTickMark val="out"/>
        <c:minorTickMark val="none"/>
        <c:tickLblPos val="nextTo"/>
        <c:crossAx val="199757184"/>
        <c:crosses val="autoZero"/>
        <c:auto val="1"/>
        <c:lblAlgn val="ctr"/>
        <c:lblOffset val="100"/>
        <c:noMultiLvlLbl val="0"/>
      </c:catAx>
      <c:valAx>
        <c:axId val="1997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755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Sheet6!$C$1</c:f>
              <c:strCache>
                <c:ptCount val="1"/>
                <c:pt idx="0">
                  <c:v>Value  in Rs. Crores</c:v>
                </c:pt>
              </c:strCache>
            </c:strRef>
          </c:tx>
          <c:invertIfNegative val="0"/>
          <c:cat>
            <c:strRef>
              <c:f>Sheet6!$B$2:$B$10</c:f>
              <c:strCache>
                <c:ptCount val="9"/>
                <c:pt idx="0">
                  <c:v>Digital
Transformation
(Digital Identity, Blockchain, Other IT Projects, App Development, App Migration)</c:v>
                </c:pt>
                <c:pt idx="1">
                  <c:v>ERP</c:v>
                </c:pt>
                <c:pt idx="2">
                  <c:v>AI/ML</c:v>
                </c:pt>
                <c:pt idx="3">
                  <c:v>HMIS</c:v>
                </c:pt>
                <c:pt idx="4">
                  <c:v>BFSI</c:v>
                </c:pt>
                <c:pt idx="5">
                  <c:v>Defence 
Projects</c:v>
                </c:pt>
                <c:pt idx="6">
                  <c:v>Cloud Services 
(MSP)</c:v>
                </c:pt>
                <c:pt idx="7">
                  <c:v>Others
 (COTS HW, SW, O&amp;M)</c:v>
                </c:pt>
                <c:pt idx="8">
                  <c:v>Cyber Security</c:v>
                </c:pt>
              </c:strCache>
            </c:strRef>
          </c:cat>
          <c:val>
            <c:numRef>
              <c:f>Sheet6!$C$2:$C$10</c:f>
              <c:numCache>
                <c:formatCode>General</c:formatCode>
                <c:ptCount val="9"/>
                <c:pt idx="0">
                  <c:v>1517</c:v>
                </c:pt>
                <c:pt idx="1">
                  <c:v>775</c:v>
                </c:pt>
                <c:pt idx="2">
                  <c:v>192</c:v>
                </c:pt>
                <c:pt idx="3">
                  <c:v>35</c:v>
                </c:pt>
                <c:pt idx="4">
                  <c:v>179</c:v>
                </c:pt>
                <c:pt idx="5">
                  <c:v>186</c:v>
                </c:pt>
                <c:pt idx="6">
                  <c:v>1241</c:v>
                </c:pt>
                <c:pt idx="7">
                  <c:v>758</c:v>
                </c:pt>
                <c:pt idx="8">
                  <c:v>261</c:v>
                </c:pt>
              </c:numCache>
            </c:numRef>
          </c:val>
        </c:ser>
        <c:ser>
          <c:idx val="1"/>
          <c:order val="1"/>
          <c:tx>
            <c:strRef>
              <c:f>Sheet6!$D$1</c:f>
              <c:strCache>
                <c:ptCount val="1"/>
                <c:pt idx="0">
                  <c:v>No of Tenders(2022-24)</c:v>
                </c:pt>
              </c:strCache>
            </c:strRef>
          </c:tx>
          <c:invertIfNegative val="0"/>
          <c:cat>
            <c:strRef>
              <c:f>Sheet6!$B$2:$B$10</c:f>
              <c:strCache>
                <c:ptCount val="9"/>
                <c:pt idx="0">
                  <c:v>Digital
Transformation
(Digital Identity, Blockchain, Other IT Projects, App Development, App Migration)</c:v>
                </c:pt>
                <c:pt idx="1">
                  <c:v>ERP</c:v>
                </c:pt>
                <c:pt idx="2">
                  <c:v>AI/ML</c:v>
                </c:pt>
                <c:pt idx="3">
                  <c:v>HMIS</c:v>
                </c:pt>
                <c:pt idx="4">
                  <c:v>BFSI</c:v>
                </c:pt>
                <c:pt idx="5">
                  <c:v>Defence 
Projects</c:v>
                </c:pt>
                <c:pt idx="6">
                  <c:v>Cloud Services 
(MSP)</c:v>
                </c:pt>
                <c:pt idx="7">
                  <c:v>Others
 (COTS HW, SW, O&amp;M)</c:v>
                </c:pt>
                <c:pt idx="8">
                  <c:v>Cyber Security</c:v>
                </c:pt>
              </c:strCache>
            </c:strRef>
          </c:cat>
          <c:val>
            <c:numRef>
              <c:f>Sheet6!$D$2:$D$10</c:f>
              <c:numCache>
                <c:formatCode>General</c:formatCode>
                <c:ptCount val="9"/>
                <c:pt idx="0">
                  <c:v>49</c:v>
                </c:pt>
                <c:pt idx="1">
                  <c:v>21</c:v>
                </c:pt>
                <c:pt idx="2">
                  <c:v>9</c:v>
                </c:pt>
                <c:pt idx="3">
                  <c:v>1</c:v>
                </c:pt>
                <c:pt idx="4">
                  <c:v>6</c:v>
                </c:pt>
                <c:pt idx="5">
                  <c:v>5</c:v>
                </c:pt>
                <c:pt idx="6">
                  <c:v>15</c:v>
                </c:pt>
                <c:pt idx="7">
                  <c:v>32</c:v>
                </c:pt>
                <c:pt idx="8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70912"/>
        <c:axId val="200472448"/>
      </c:barChart>
      <c:catAx>
        <c:axId val="20047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472448"/>
        <c:crosses val="autoZero"/>
        <c:auto val="1"/>
        <c:lblAlgn val="ctr"/>
        <c:lblOffset val="100"/>
        <c:noMultiLvlLbl val="0"/>
      </c:catAx>
      <c:valAx>
        <c:axId val="20047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47091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5</xdr:row>
      <xdr:rowOff>304800</xdr:rowOff>
    </xdr:from>
    <xdr:to>
      <xdr:col>20</xdr:col>
      <xdr:colOff>514350</xdr:colOff>
      <xdr:row>16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11</xdr:row>
      <xdr:rowOff>152399</xdr:rowOff>
    </xdr:from>
    <xdr:to>
      <xdr:col>21</xdr:col>
      <xdr:colOff>466724</xdr:colOff>
      <xdr:row>27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342900</xdr:rowOff>
    </xdr:from>
    <xdr:to>
      <xdr:col>26</xdr:col>
      <xdr:colOff>381000</xdr:colOff>
      <xdr:row>29</xdr:row>
      <xdr:rowOff>122465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57150</xdr:rowOff>
    </xdr:from>
    <xdr:to>
      <xdr:col>26</xdr:col>
      <xdr:colOff>133350</xdr:colOff>
      <xdr:row>28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238125</xdr:colOff>
      <xdr:row>0</xdr:row>
      <xdr:rowOff>1557337</xdr:rowOff>
    </xdr:from>
    <xdr:to>
      <xdr:col>27</xdr:col>
      <xdr:colOff>542925</xdr:colOff>
      <xdr:row>5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0</xdr:row>
      <xdr:rowOff>1362075</xdr:rowOff>
    </xdr:from>
    <xdr:to>
      <xdr:col>19</xdr:col>
      <xdr:colOff>333375</xdr:colOff>
      <xdr:row>5</xdr:row>
      <xdr:rowOff>1076325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8</xdr:row>
      <xdr:rowOff>171449</xdr:rowOff>
    </xdr:from>
    <xdr:to>
      <xdr:col>19</xdr:col>
      <xdr:colOff>247650</xdr:colOff>
      <xdr:row>24</xdr:row>
      <xdr:rowOff>28574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</xdr:row>
      <xdr:rowOff>104774</xdr:rowOff>
    </xdr:from>
    <xdr:to>
      <xdr:col>21</xdr:col>
      <xdr:colOff>476250</xdr:colOff>
      <xdr:row>27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</xdr:row>
      <xdr:rowOff>704850</xdr:rowOff>
    </xdr:from>
    <xdr:to>
      <xdr:col>23</xdr:col>
      <xdr:colOff>381000</xdr:colOff>
      <xdr:row>18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</xdr:row>
      <xdr:rowOff>104775</xdr:rowOff>
    </xdr:from>
    <xdr:to>
      <xdr:col>17</xdr:col>
      <xdr:colOff>533400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4</xdr:row>
      <xdr:rowOff>133349</xdr:rowOff>
    </xdr:from>
    <xdr:to>
      <xdr:col>21</xdr:col>
      <xdr:colOff>66674</xdr:colOff>
      <xdr:row>23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art%2004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>
        <row r="2">
          <cell r="B2" t="str">
            <v>1st Apr 2020</v>
          </cell>
          <cell r="C2">
            <v>15</v>
          </cell>
        </row>
        <row r="3">
          <cell r="B3" t="str">
            <v>1st Apr 2021</v>
          </cell>
          <cell r="C3">
            <v>40</v>
          </cell>
        </row>
        <row r="4">
          <cell r="B4" t="str">
            <v>1st Apr 2022</v>
          </cell>
          <cell r="C4">
            <v>28</v>
          </cell>
        </row>
        <row r="5">
          <cell r="B5" t="str">
            <v>1st Apr 2023</v>
          </cell>
          <cell r="C5">
            <v>17</v>
          </cell>
        </row>
        <row r="6">
          <cell r="B6" t="str">
            <v>1st Apr 2024</v>
          </cell>
          <cell r="C6">
            <v>59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1" displayName="Table1" ref="A1:D11" totalsRowShown="0" headerRowDxfId="8" dataDxfId="6" headerRowBorderDxfId="7" tableBorderDxfId="5" totalsRowBorderDxfId="4">
  <tableColumns count="4">
    <tableColumn id="1" name="Sl. No." dataDxfId="3"/>
    <tableColumn id="2" name="SW Domain" dataDxfId="2"/>
    <tableColumn id="3" name="No of Tenders(2022-24)" dataDxfId="1"/>
    <tableColumn id="4" name="Value  in Rs. Cro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O6" sqref="O6"/>
    </sheetView>
  </sheetViews>
  <sheetFormatPr defaultRowHeight="15" x14ac:dyDescent="0.25"/>
  <cols>
    <col min="9" max="9" width="11.85546875" bestFit="1" customWidth="1"/>
  </cols>
  <sheetData>
    <row r="1" spans="1:10" ht="47.25" customHeight="1" x14ac:dyDescent="0.3">
      <c r="A1" s="108" t="s">
        <v>0</v>
      </c>
      <c r="B1" s="110" t="s">
        <v>1</v>
      </c>
      <c r="C1" s="1" t="s">
        <v>2</v>
      </c>
      <c r="D1" s="1" t="s">
        <v>4</v>
      </c>
      <c r="E1" s="1" t="s">
        <v>5</v>
      </c>
      <c r="F1" s="31" t="s">
        <v>16</v>
      </c>
      <c r="G1" s="3" t="s">
        <v>6</v>
      </c>
      <c r="H1" s="31" t="s">
        <v>18</v>
      </c>
      <c r="I1" s="111" t="s">
        <v>7</v>
      </c>
      <c r="J1" t="s">
        <v>19</v>
      </c>
    </row>
    <row r="2" spans="1:10" ht="24.75" thickBot="1" x14ac:dyDescent="0.3">
      <c r="A2" s="109"/>
      <c r="B2" s="109"/>
      <c r="C2" s="2" t="s">
        <v>3</v>
      </c>
      <c r="D2" s="2" t="s">
        <v>3</v>
      </c>
      <c r="E2" s="2" t="s">
        <v>3</v>
      </c>
      <c r="F2" s="32" t="s">
        <v>17</v>
      </c>
      <c r="G2" s="4" t="s">
        <v>3</v>
      </c>
      <c r="H2" s="32" t="s">
        <v>17</v>
      </c>
      <c r="I2" s="112"/>
    </row>
    <row r="3" spans="1:10" ht="33.75" thickBot="1" x14ac:dyDescent="0.3">
      <c r="A3" s="5">
        <v>1</v>
      </c>
      <c r="B3" s="6" t="s">
        <v>8</v>
      </c>
      <c r="C3" s="7">
        <v>3</v>
      </c>
      <c r="D3" s="8">
        <v>2</v>
      </c>
      <c r="E3" s="9">
        <v>3</v>
      </c>
      <c r="F3" s="9">
        <v>2.87</v>
      </c>
      <c r="G3" s="10">
        <v>2</v>
      </c>
      <c r="H3" s="10">
        <v>3.37</v>
      </c>
      <c r="I3" s="40">
        <f>F3+H3</f>
        <v>6.24</v>
      </c>
    </row>
    <row r="4" spans="1:10" ht="33.75" thickBot="1" x14ac:dyDescent="0.3">
      <c r="A4" s="11">
        <v>2</v>
      </c>
      <c r="B4" s="12" t="s">
        <v>9</v>
      </c>
      <c r="C4" s="13">
        <v>9</v>
      </c>
      <c r="D4" s="14">
        <v>5</v>
      </c>
      <c r="E4" s="15">
        <v>9</v>
      </c>
      <c r="F4" s="15">
        <v>31.41</v>
      </c>
      <c r="G4" s="16">
        <v>5</v>
      </c>
      <c r="H4" s="16">
        <v>16.53</v>
      </c>
      <c r="I4" s="40">
        <f t="shared" ref="I4:I7" si="0">F4+H4</f>
        <v>47.94</v>
      </c>
    </row>
    <row r="5" spans="1:10" ht="33.75" thickBot="1" x14ac:dyDescent="0.3">
      <c r="A5" s="18">
        <v>3</v>
      </c>
      <c r="B5" s="19" t="s">
        <v>10</v>
      </c>
      <c r="C5" s="13">
        <v>2</v>
      </c>
      <c r="D5" s="14">
        <v>0</v>
      </c>
      <c r="E5" s="15">
        <v>2</v>
      </c>
      <c r="F5" s="15">
        <v>5.17</v>
      </c>
      <c r="G5" s="16">
        <v>0</v>
      </c>
      <c r="H5" s="16">
        <v>0</v>
      </c>
      <c r="I5" s="40">
        <f t="shared" si="0"/>
        <v>5.17</v>
      </c>
    </row>
    <row r="6" spans="1:10" ht="33.75" thickBot="1" x14ac:dyDescent="0.3">
      <c r="A6" s="11">
        <v>4</v>
      </c>
      <c r="B6" s="12" t="s">
        <v>11</v>
      </c>
      <c r="C6" s="20">
        <v>8</v>
      </c>
      <c r="D6" s="21">
        <v>0</v>
      </c>
      <c r="E6" s="15">
        <v>7</v>
      </c>
      <c r="F6" s="15">
        <v>10.69</v>
      </c>
      <c r="G6" s="16">
        <v>1</v>
      </c>
      <c r="H6" s="16">
        <v>2.2200000000000002</v>
      </c>
      <c r="I6" s="40">
        <f t="shared" si="0"/>
        <v>12.91</v>
      </c>
    </row>
    <row r="7" spans="1:10" ht="33.75" thickBot="1" x14ac:dyDescent="0.3">
      <c r="A7" s="18">
        <v>5</v>
      </c>
      <c r="B7" s="19" t="s">
        <v>12</v>
      </c>
      <c r="C7" s="20">
        <v>12</v>
      </c>
      <c r="D7" s="21">
        <v>2</v>
      </c>
      <c r="E7" s="15">
        <v>13</v>
      </c>
      <c r="F7" s="15">
        <v>50.72</v>
      </c>
      <c r="G7" s="16">
        <v>2</v>
      </c>
      <c r="H7" s="16">
        <v>20.71</v>
      </c>
      <c r="I7" s="40">
        <f t="shared" si="0"/>
        <v>71.430000000000007</v>
      </c>
    </row>
    <row r="8" spans="1:10" ht="83.25" thickBot="1" x14ac:dyDescent="0.3">
      <c r="A8" s="11">
        <v>6</v>
      </c>
      <c r="B8" s="12" t="s">
        <v>58</v>
      </c>
      <c r="C8" s="20">
        <v>4</v>
      </c>
      <c r="D8" s="21">
        <v>1</v>
      </c>
      <c r="E8" s="15">
        <v>4</v>
      </c>
      <c r="F8" s="15">
        <v>22.44</v>
      </c>
      <c r="G8" s="16">
        <v>0</v>
      </c>
      <c r="H8" s="16">
        <v>18.739999999999998</v>
      </c>
      <c r="I8" s="40">
        <f>F8+H8</f>
        <v>41.18</v>
      </c>
    </row>
    <row r="9" spans="1:10" ht="30.75" thickBot="1" x14ac:dyDescent="0.3">
      <c r="A9" s="22"/>
      <c r="B9" s="23" t="s">
        <v>13</v>
      </c>
      <c r="C9" s="24">
        <v>38</v>
      </c>
      <c r="D9" s="25">
        <v>10</v>
      </c>
      <c r="E9" s="26">
        <v>38</v>
      </c>
      <c r="F9" s="28" t="s">
        <v>15</v>
      </c>
      <c r="G9" s="27">
        <v>10</v>
      </c>
      <c r="H9" s="10" t="s">
        <v>15</v>
      </c>
      <c r="I9" s="22"/>
    </row>
    <row r="10" spans="1:10" ht="60.75" thickBot="1" x14ac:dyDescent="0.3">
      <c r="A10" s="22"/>
      <c r="B10" s="34" t="s">
        <v>14</v>
      </c>
      <c r="C10" s="29" t="s">
        <v>15</v>
      </c>
      <c r="D10" s="30" t="s">
        <v>15</v>
      </c>
      <c r="E10" s="26"/>
      <c r="F10" s="26">
        <f>SUM(F3:F9)</f>
        <v>123.3</v>
      </c>
      <c r="G10" s="33" t="s">
        <v>15</v>
      </c>
      <c r="H10" s="27">
        <f>SUM(H3:H9)</f>
        <v>61.569999999999993</v>
      </c>
      <c r="I10" s="22">
        <f>SUM(I3:I9)</f>
        <v>184.87</v>
      </c>
      <c r="J10">
        <f>F10+H10</f>
        <v>184.87</v>
      </c>
    </row>
    <row r="23" spans="9:9" x14ac:dyDescent="0.25">
      <c r="I23">
        <v>74.180000000000007</v>
      </c>
    </row>
  </sheetData>
  <mergeCells count="3">
    <mergeCell ref="A1:A2"/>
    <mergeCell ref="B1:B2"/>
    <mergeCell ref="I1:I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K22" sqref="K22"/>
    </sheetView>
  </sheetViews>
  <sheetFormatPr defaultRowHeight="15" x14ac:dyDescent="0.25"/>
  <sheetData>
    <row r="1" spans="1:6" ht="35.25" thickBot="1" x14ac:dyDescent="0.3">
      <c r="A1" s="35" t="s">
        <v>20</v>
      </c>
      <c r="B1" s="36" t="s">
        <v>1</v>
      </c>
      <c r="C1" s="36" t="s">
        <v>21</v>
      </c>
      <c r="D1" s="36" t="s">
        <v>22</v>
      </c>
      <c r="E1" s="36" t="s">
        <v>23</v>
      </c>
      <c r="F1" s="37" t="s">
        <v>24</v>
      </c>
    </row>
    <row r="2" spans="1:6" ht="17.25" thickBot="1" x14ac:dyDescent="0.3">
      <c r="A2" s="17">
        <v>1</v>
      </c>
      <c r="B2" s="17" t="s">
        <v>9</v>
      </c>
      <c r="C2" s="17">
        <v>30</v>
      </c>
      <c r="D2" s="17">
        <v>4</v>
      </c>
      <c r="E2" s="38">
        <v>10</v>
      </c>
      <c r="F2" s="17">
        <v>44</v>
      </c>
    </row>
    <row r="3" spans="1:6" ht="17.25" thickBot="1" x14ac:dyDescent="0.3">
      <c r="A3" s="39">
        <v>2</v>
      </c>
      <c r="B3" s="39" t="s">
        <v>10</v>
      </c>
      <c r="C3" s="39">
        <v>35</v>
      </c>
      <c r="D3" s="39">
        <v>8</v>
      </c>
      <c r="E3" s="38">
        <v>28</v>
      </c>
      <c r="F3" s="39">
        <v>71</v>
      </c>
    </row>
    <row r="4" spans="1:6" ht="17.25" thickBot="1" x14ac:dyDescent="0.3">
      <c r="A4" s="17">
        <v>3</v>
      </c>
      <c r="B4" s="17" t="s">
        <v>11</v>
      </c>
      <c r="C4" s="17">
        <v>77</v>
      </c>
      <c r="D4" s="17">
        <v>5</v>
      </c>
      <c r="E4" s="38">
        <v>23</v>
      </c>
      <c r="F4" s="17">
        <v>105</v>
      </c>
    </row>
    <row r="5" spans="1:6" ht="17.25" thickBot="1" x14ac:dyDescent="0.3">
      <c r="A5" s="39">
        <v>4</v>
      </c>
      <c r="B5" s="39" t="s">
        <v>25</v>
      </c>
      <c r="C5" s="39">
        <v>88</v>
      </c>
      <c r="D5" s="39">
        <v>10</v>
      </c>
      <c r="E5" s="38">
        <v>43</v>
      </c>
      <c r="F5" s="39">
        <v>142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opLeftCell="A2" zoomScale="70" zoomScaleNormal="70" workbookViewId="0">
      <selection activeCell="Y5" sqref="V4:Y5"/>
    </sheetView>
  </sheetViews>
  <sheetFormatPr defaultRowHeight="15" x14ac:dyDescent="0.25"/>
  <sheetData>
    <row r="1" spans="1:6" ht="43.5" customHeight="1" thickBot="1" x14ac:dyDescent="0.3">
      <c r="A1" s="80" t="s">
        <v>26</v>
      </c>
      <c r="B1" s="88" t="s">
        <v>1</v>
      </c>
      <c r="C1" s="88" t="s">
        <v>21</v>
      </c>
      <c r="D1" s="88" t="s">
        <v>22</v>
      </c>
      <c r="E1" s="88" t="s">
        <v>23</v>
      </c>
      <c r="F1" s="88" t="s">
        <v>24</v>
      </c>
    </row>
    <row r="2" spans="1:6" ht="84" customHeight="1" thickTop="1" thickBot="1" x14ac:dyDescent="0.3">
      <c r="A2" s="81">
        <v>1</v>
      </c>
      <c r="B2" s="81" t="s">
        <v>90</v>
      </c>
      <c r="C2" s="81">
        <v>148</v>
      </c>
      <c r="D2" s="81">
        <v>10</v>
      </c>
      <c r="E2" s="81">
        <v>1063</v>
      </c>
      <c r="F2" s="81">
        <v>1221</v>
      </c>
    </row>
    <row r="3" spans="1:6" ht="84" customHeight="1" thickBot="1" x14ac:dyDescent="0.3">
      <c r="A3" s="82">
        <v>2</v>
      </c>
      <c r="B3" s="82" t="s">
        <v>89</v>
      </c>
      <c r="C3" s="82">
        <v>149</v>
      </c>
      <c r="D3" s="82">
        <v>9.8000000000000007</v>
      </c>
      <c r="E3" s="82">
        <v>146</v>
      </c>
      <c r="F3" s="82">
        <v>304</v>
      </c>
    </row>
    <row r="4" spans="1:6" ht="84" customHeight="1" thickBot="1" x14ac:dyDescent="0.3">
      <c r="A4" s="83">
        <v>3</v>
      </c>
      <c r="B4" s="84" t="s">
        <v>91</v>
      </c>
      <c r="C4" s="85">
        <v>37.04</v>
      </c>
      <c r="D4" s="85">
        <v>2.59</v>
      </c>
      <c r="E4" s="83">
        <v>41.18</v>
      </c>
      <c r="F4" s="83">
        <v>66.540000000000006</v>
      </c>
    </row>
    <row r="5" spans="1:6" ht="84" customHeight="1" x14ac:dyDescent="0.25">
      <c r="A5" s="82">
        <v>4</v>
      </c>
      <c r="B5" s="82" t="s">
        <v>92</v>
      </c>
      <c r="C5" s="86">
        <v>49.78</v>
      </c>
      <c r="D5" s="86">
        <v>3.05</v>
      </c>
      <c r="E5" s="86">
        <v>26.18</v>
      </c>
      <c r="F5" s="87">
        <v>79.010000000000005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Q39" sqref="Q39"/>
    </sheetView>
  </sheetViews>
  <sheetFormatPr defaultRowHeight="15" x14ac:dyDescent="0.25"/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>
        <v>1</v>
      </c>
      <c r="B2" t="s">
        <v>34</v>
      </c>
      <c r="C2">
        <v>140</v>
      </c>
      <c r="D2">
        <v>150</v>
      </c>
      <c r="E2">
        <v>170</v>
      </c>
      <c r="F2">
        <v>200</v>
      </c>
      <c r="G2">
        <v>230</v>
      </c>
      <c r="H2">
        <v>300</v>
      </c>
    </row>
    <row r="3" spans="1:8" x14ac:dyDescent="0.25">
      <c r="A3">
        <v>2</v>
      </c>
      <c r="B3" t="s">
        <v>35</v>
      </c>
      <c r="C3">
        <v>10</v>
      </c>
      <c r="D3" t="s">
        <v>36</v>
      </c>
      <c r="E3" t="s">
        <v>37</v>
      </c>
      <c r="F3" t="s">
        <v>38</v>
      </c>
      <c r="G3">
        <v>35</v>
      </c>
      <c r="H3">
        <v>40</v>
      </c>
    </row>
    <row r="4" spans="1:8" x14ac:dyDescent="0.25">
      <c r="A4">
        <v>3</v>
      </c>
      <c r="B4" t="s">
        <v>39</v>
      </c>
      <c r="C4">
        <v>5</v>
      </c>
      <c r="D4">
        <v>10</v>
      </c>
      <c r="E4">
        <v>20</v>
      </c>
      <c r="F4">
        <v>40</v>
      </c>
      <c r="G4">
        <v>85</v>
      </c>
      <c r="H4">
        <v>160</v>
      </c>
    </row>
    <row r="5" spans="1:8" x14ac:dyDescent="0.25">
      <c r="B5" t="s">
        <v>40</v>
      </c>
      <c r="C5">
        <v>18.5</v>
      </c>
      <c r="D5">
        <v>18.8</v>
      </c>
      <c r="E5">
        <v>22.3</v>
      </c>
      <c r="F5">
        <v>28.2</v>
      </c>
      <c r="G5">
        <v>41.8</v>
      </c>
      <c r="H5">
        <v>59.6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B1" workbookViewId="0">
      <selection activeCell="K6" sqref="K6"/>
    </sheetView>
  </sheetViews>
  <sheetFormatPr defaultRowHeight="15" x14ac:dyDescent="0.25"/>
  <cols>
    <col min="2" max="2" width="13.42578125" bestFit="1" customWidth="1"/>
    <col min="6" max="6" width="21.42578125" bestFit="1" customWidth="1"/>
    <col min="7" max="7" width="9.42578125" bestFit="1" customWidth="1"/>
    <col min="8" max="8" width="6.7109375" bestFit="1" customWidth="1"/>
  </cols>
  <sheetData>
    <row r="1" spans="1:8" ht="162.75" thickBot="1" x14ac:dyDescent="0.3">
      <c r="A1" s="41" t="s">
        <v>41</v>
      </c>
      <c r="B1" s="41" t="s">
        <v>1</v>
      </c>
      <c r="C1" s="42" t="s">
        <v>42</v>
      </c>
      <c r="D1" s="41" t="s">
        <v>1</v>
      </c>
      <c r="E1" s="42" t="s">
        <v>43</v>
      </c>
      <c r="F1" s="42" t="s">
        <v>44</v>
      </c>
      <c r="G1" s="41" t="s">
        <v>45</v>
      </c>
    </row>
    <row r="2" spans="1:8" ht="44.25" thickTop="1" thickBot="1" x14ac:dyDescent="0.3">
      <c r="A2" s="43">
        <v>1</v>
      </c>
      <c r="B2" s="43" t="s">
        <v>46</v>
      </c>
      <c r="C2" s="44">
        <v>15</v>
      </c>
      <c r="D2" s="43" t="s">
        <v>9</v>
      </c>
      <c r="E2" s="45">
        <v>10</v>
      </c>
      <c r="F2" s="45">
        <v>44</v>
      </c>
      <c r="G2">
        <v>0</v>
      </c>
    </row>
    <row r="3" spans="1:8" ht="43.5" thickBot="1" x14ac:dyDescent="0.3">
      <c r="A3" s="46">
        <v>2</v>
      </c>
      <c r="B3" s="46" t="s">
        <v>47</v>
      </c>
      <c r="C3" s="47">
        <v>40</v>
      </c>
      <c r="D3" s="46" t="s">
        <v>10</v>
      </c>
      <c r="E3" s="47">
        <v>28</v>
      </c>
      <c r="F3" s="47">
        <v>71</v>
      </c>
      <c r="G3" s="48">
        <f>(E3-E2)/E2*100</f>
        <v>180</v>
      </c>
    </row>
    <row r="4" spans="1:8" ht="43.5" thickBot="1" x14ac:dyDescent="0.3">
      <c r="A4" s="49">
        <v>3</v>
      </c>
      <c r="B4" s="49" t="s">
        <v>48</v>
      </c>
      <c r="C4" s="50">
        <v>28</v>
      </c>
      <c r="D4" s="49" t="s">
        <v>11</v>
      </c>
      <c r="E4" s="50">
        <v>23</v>
      </c>
      <c r="F4" s="50">
        <v>105</v>
      </c>
      <c r="G4" s="48">
        <f t="shared" ref="G4:G6" si="0">(E4-E3)/E3*100</f>
        <v>-17.857142857142858</v>
      </c>
    </row>
    <row r="5" spans="1:8" ht="43.5" thickBot="1" x14ac:dyDescent="0.3">
      <c r="A5" s="46">
        <v>4</v>
      </c>
      <c r="B5" s="46" t="s">
        <v>49</v>
      </c>
      <c r="C5" s="47">
        <v>17</v>
      </c>
      <c r="D5" s="46" t="s">
        <v>12</v>
      </c>
      <c r="E5" s="47">
        <v>43</v>
      </c>
      <c r="F5" s="47">
        <v>142</v>
      </c>
      <c r="G5" s="48">
        <f t="shared" si="0"/>
        <v>86.956521739130437</v>
      </c>
    </row>
    <row r="6" spans="1:8" ht="101.25" x14ac:dyDescent="0.25">
      <c r="A6" s="51">
        <v>5</v>
      </c>
      <c r="B6" s="51" t="s">
        <v>50</v>
      </c>
      <c r="C6" s="52">
        <v>59</v>
      </c>
      <c r="D6" s="51" t="s">
        <v>59</v>
      </c>
      <c r="E6" s="51">
        <v>26.16</v>
      </c>
      <c r="F6" s="53">
        <v>304</v>
      </c>
      <c r="G6" s="48">
        <f t="shared" si="0"/>
        <v>-39.162790697674417</v>
      </c>
    </row>
    <row r="11" spans="1:8" x14ac:dyDescent="0.25">
      <c r="C11" s="54" t="s">
        <v>51</v>
      </c>
      <c r="D11" s="54" t="s">
        <v>52</v>
      </c>
      <c r="E11" s="54" t="s">
        <v>42</v>
      </c>
      <c r="F11" s="54"/>
      <c r="G11" s="54"/>
      <c r="H11" s="54"/>
    </row>
    <row r="12" spans="1:8" ht="30" x14ac:dyDescent="0.25">
      <c r="C12" s="54">
        <v>1</v>
      </c>
      <c r="D12" s="55" t="s">
        <v>53</v>
      </c>
      <c r="E12" s="54">
        <v>15</v>
      </c>
      <c r="F12" s="54"/>
      <c r="G12" s="54"/>
      <c r="H12" s="54"/>
    </row>
    <row r="13" spans="1:8" ht="30" x14ac:dyDescent="0.25">
      <c r="C13" s="54">
        <v>2</v>
      </c>
      <c r="D13" s="55" t="s">
        <v>54</v>
      </c>
      <c r="E13" s="54">
        <v>40</v>
      </c>
      <c r="F13" s="54"/>
      <c r="G13" s="54"/>
      <c r="H13" s="54"/>
    </row>
    <row r="14" spans="1:8" ht="30" x14ac:dyDescent="0.25">
      <c r="C14" s="54">
        <v>3</v>
      </c>
      <c r="D14" s="55" t="s">
        <v>55</v>
      </c>
      <c r="E14" s="54">
        <v>28</v>
      </c>
      <c r="F14" s="54"/>
      <c r="G14" s="54"/>
      <c r="H14" s="54"/>
    </row>
    <row r="15" spans="1:8" ht="30" x14ac:dyDescent="0.25">
      <c r="C15" s="54">
        <v>4</v>
      </c>
      <c r="D15" s="55" t="s">
        <v>56</v>
      </c>
      <c r="E15" s="54">
        <v>17</v>
      </c>
      <c r="F15" s="54"/>
      <c r="G15" s="54"/>
      <c r="H15" s="54"/>
    </row>
    <row r="16" spans="1:8" ht="30" x14ac:dyDescent="0.25">
      <c r="C16" s="54">
        <v>5</v>
      </c>
      <c r="D16" s="55" t="s">
        <v>57</v>
      </c>
      <c r="E16" s="54">
        <v>59</v>
      </c>
      <c r="F16" s="54"/>
      <c r="G16" s="54"/>
      <c r="H16" s="54"/>
    </row>
    <row r="17" spans="3:8" ht="60" x14ac:dyDescent="0.25">
      <c r="C17" s="54">
        <v>6</v>
      </c>
      <c r="D17" s="55" t="s">
        <v>60</v>
      </c>
      <c r="E17" s="54">
        <v>74.040000000000006</v>
      </c>
      <c r="F17" s="54"/>
      <c r="G17" s="54"/>
      <c r="H17" s="5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W4" sqref="W4"/>
    </sheetView>
  </sheetViews>
  <sheetFormatPr defaultRowHeight="15" x14ac:dyDescent="0.25"/>
  <sheetData>
    <row r="1" spans="1:7" ht="35.25" thickBot="1" x14ac:dyDescent="0.3">
      <c r="A1" s="93" t="s">
        <v>20</v>
      </c>
      <c r="B1" s="93" t="s">
        <v>61</v>
      </c>
      <c r="C1" s="93" t="s">
        <v>29</v>
      </c>
      <c r="D1" s="93" t="s">
        <v>30</v>
      </c>
      <c r="E1" s="93" t="s">
        <v>31</v>
      </c>
      <c r="F1" s="93" t="s">
        <v>32</v>
      </c>
      <c r="G1" s="93" t="s">
        <v>33</v>
      </c>
    </row>
    <row r="2" spans="1:7" ht="83.25" thickBot="1" x14ac:dyDescent="0.3">
      <c r="A2" s="94">
        <v>1</v>
      </c>
      <c r="B2" s="95" t="s">
        <v>62</v>
      </c>
      <c r="C2" s="96">
        <v>200</v>
      </c>
      <c r="D2" s="96">
        <v>280</v>
      </c>
      <c r="E2" s="96">
        <v>350</v>
      </c>
      <c r="F2" s="94">
        <v>550</v>
      </c>
      <c r="G2" s="94">
        <v>675</v>
      </c>
    </row>
    <row r="3" spans="1:7" ht="33.75" thickBot="1" x14ac:dyDescent="0.3">
      <c r="A3" s="97">
        <v>2</v>
      </c>
      <c r="B3" s="98" t="s">
        <v>63</v>
      </c>
      <c r="C3" s="99">
        <v>145</v>
      </c>
      <c r="D3" s="99">
        <v>155</v>
      </c>
      <c r="E3" s="99">
        <v>170</v>
      </c>
      <c r="F3" s="97">
        <v>200</v>
      </c>
      <c r="G3" s="97">
        <v>350</v>
      </c>
    </row>
    <row r="4" spans="1:7" ht="45.75" thickBot="1" x14ac:dyDescent="0.3">
      <c r="A4" s="100"/>
      <c r="B4" s="101" t="s">
        <v>64</v>
      </c>
      <c r="C4" s="102">
        <v>345</v>
      </c>
      <c r="D4" s="102">
        <v>435</v>
      </c>
      <c r="E4" s="102">
        <v>520</v>
      </c>
      <c r="F4" s="102">
        <v>750</v>
      </c>
      <c r="G4" s="102">
        <v>1025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S2" sqref="S2"/>
    </sheetView>
  </sheetViews>
  <sheetFormatPr defaultRowHeight="15" x14ac:dyDescent="0.25"/>
  <sheetData>
    <row r="1" spans="1:8" ht="35.25" thickBot="1" x14ac:dyDescent="0.3">
      <c r="A1" s="56" t="s">
        <v>20</v>
      </c>
      <c r="B1" s="56" t="s">
        <v>61</v>
      </c>
      <c r="C1" s="56" t="s">
        <v>28</v>
      </c>
      <c r="D1" s="56" t="s">
        <v>29</v>
      </c>
      <c r="E1" s="56" t="s">
        <v>30</v>
      </c>
      <c r="F1" s="56" t="s">
        <v>31</v>
      </c>
      <c r="G1" s="56" t="s">
        <v>32</v>
      </c>
      <c r="H1" s="56" t="s">
        <v>33</v>
      </c>
    </row>
    <row r="2" spans="1:8" ht="83.25" thickBot="1" x14ac:dyDescent="0.3">
      <c r="A2" s="57">
        <v>1</v>
      </c>
      <c r="B2" s="58" t="s">
        <v>62</v>
      </c>
      <c r="C2" s="89">
        <v>1063</v>
      </c>
      <c r="D2" s="90">
        <v>320</v>
      </c>
      <c r="E2" s="90">
        <v>500</v>
      </c>
      <c r="F2" s="90">
        <v>720</v>
      </c>
      <c r="G2" s="90">
        <v>1020</v>
      </c>
      <c r="H2" s="90">
        <v>1485</v>
      </c>
    </row>
    <row r="3" spans="1:8" ht="33.75" thickBot="1" x14ac:dyDescent="0.3">
      <c r="A3" s="59">
        <v>2</v>
      </c>
      <c r="B3" s="60" t="s">
        <v>63</v>
      </c>
      <c r="C3" s="91">
        <v>155</v>
      </c>
      <c r="D3" s="91">
        <v>160</v>
      </c>
      <c r="E3" s="91">
        <v>190</v>
      </c>
      <c r="F3" s="91">
        <v>240</v>
      </c>
      <c r="G3" s="92">
        <v>350</v>
      </c>
      <c r="H3" s="92">
        <v>500</v>
      </c>
    </row>
    <row r="4" spans="1:8" ht="45.75" thickBot="1" x14ac:dyDescent="0.3">
      <c r="A4" s="61"/>
      <c r="B4" s="62" t="s">
        <v>64</v>
      </c>
      <c r="C4" s="63">
        <f>SUM(C2:C3)</f>
        <v>1218</v>
      </c>
      <c r="D4" s="63">
        <f t="shared" ref="D4:H4" si="0">SUM(D2:D3)</f>
        <v>480</v>
      </c>
      <c r="E4" s="63">
        <f t="shared" si="0"/>
        <v>690</v>
      </c>
      <c r="F4" s="63">
        <f t="shared" si="0"/>
        <v>960</v>
      </c>
      <c r="G4" s="63">
        <f t="shared" si="0"/>
        <v>1370</v>
      </c>
      <c r="H4" s="63">
        <f t="shared" si="0"/>
        <v>1985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workbookViewId="0">
      <selection activeCell="S7" sqref="S7"/>
    </sheetView>
  </sheetViews>
  <sheetFormatPr defaultRowHeight="15" x14ac:dyDescent="0.25"/>
  <cols>
    <col min="1" max="1" width="4.42578125" customWidth="1"/>
    <col min="3" max="3" width="45.140625" customWidth="1"/>
    <col min="4" max="4" width="23.85546875" customWidth="1"/>
    <col min="5" max="5" width="45.140625" customWidth="1"/>
  </cols>
  <sheetData>
    <row r="1" spans="2:5" ht="15.75" thickBot="1" x14ac:dyDescent="0.3"/>
    <row r="2" spans="2:5" ht="44.25" customHeight="1" thickBot="1" x14ac:dyDescent="0.3">
      <c r="B2" s="74" t="s">
        <v>65</v>
      </c>
      <c r="C2" s="74" t="s">
        <v>80</v>
      </c>
      <c r="D2" s="76" t="s">
        <v>81</v>
      </c>
      <c r="E2" s="75" t="s">
        <v>82</v>
      </c>
    </row>
    <row r="3" spans="2:5" ht="72.75" thickBot="1" x14ac:dyDescent="0.3">
      <c r="B3" s="77">
        <v>1</v>
      </c>
      <c r="C3" s="78" t="s">
        <v>86</v>
      </c>
      <c r="D3" s="113">
        <v>5135</v>
      </c>
      <c r="E3" s="114">
        <v>795</v>
      </c>
    </row>
    <row r="4" spans="2:5" ht="36.75" thickBot="1" x14ac:dyDescent="0.3">
      <c r="B4" s="77">
        <v>2</v>
      </c>
      <c r="C4" s="78" t="s">
        <v>87</v>
      </c>
      <c r="D4" s="115">
        <v>1030</v>
      </c>
      <c r="E4" s="116">
        <v>150</v>
      </c>
    </row>
    <row r="5" spans="2:5" ht="18.75" thickBot="1" x14ac:dyDescent="0.3">
      <c r="B5" s="77">
        <v>3</v>
      </c>
      <c r="C5" s="78" t="s">
        <v>70</v>
      </c>
      <c r="D5" s="115">
        <v>2464</v>
      </c>
      <c r="E5" s="116">
        <v>672</v>
      </c>
    </row>
    <row r="6" spans="2:5" ht="18.75" thickBot="1" x14ac:dyDescent="0.3">
      <c r="B6" s="77">
        <v>4</v>
      </c>
      <c r="C6" s="78" t="s">
        <v>83</v>
      </c>
      <c r="D6" s="115">
        <v>2900</v>
      </c>
      <c r="E6" s="116">
        <v>813</v>
      </c>
    </row>
    <row r="7" spans="2:5" ht="18.75" thickBot="1" x14ac:dyDescent="0.3">
      <c r="B7" s="77">
        <v>5</v>
      </c>
      <c r="C7" s="78" t="s">
        <v>69</v>
      </c>
      <c r="D7" s="115">
        <v>2740</v>
      </c>
      <c r="E7" s="116">
        <v>380</v>
      </c>
    </row>
    <row r="8" spans="2:5" ht="18.75" thickBot="1" x14ac:dyDescent="0.3">
      <c r="B8" s="77">
        <v>6</v>
      </c>
      <c r="C8" s="78" t="s">
        <v>67</v>
      </c>
      <c r="D8" s="115">
        <v>2050</v>
      </c>
      <c r="E8" s="116">
        <v>133</v>
      </c>
    </row>
    <row r="9" spans="2:5" ht="18.75" thickBot="1" x14ac:dyDescent="0.3">
      <c r="B9" s="77">
        <v>7</v>
      </c>
      <c r="C9" s="78" t="s">
        <v>85</v>
      </c>
      <c r="D9" s="115">
        <v>1440</v>
      </c>
      <c r="E9" s="116">
        <v>245</v>
      </c>
    </row>
    <row r="10" spans="2:5" ht="18.75" thickBot="1" x14ac:dyDescent="0.3">
      <c r="B10" s="77">
        <v>8</v>
      </c>
      <c r="C10" s="78" t="s">
        <v>71</v>
      </c>
      <c r="D10" s="115">
        <v>1500</v>
      </c>
      <c r="E10" s="116">
        <v>240</v>
      </c>
    </row>
    <row r="11" spans="2:5" ht="18.75" thickBot="1" x14ac:dyDescent="0.3">
      <c r="B11" s="77">
        <v>9</v>
      </c>
      <c r="C11" s="78" t="s">
        <v>68</v>
      </c>
      <c r="D11" s="115">
        <v>615</v>
      </c>
      <c r="E11" s="116">
        <v>91</v>
      </c>
    </row>
    <row r="12" spans="2:5" ht="36.75" thickBot="1" x14ac:dyDescent="0.3">
      <c r="B12" s="77">
        <v>10</v>
      </c>
      <c r="C12" s="78" t="s">
        <v>88</v>
      </c>
      <c r="D12" s="115">
        <v>720</v>
      </c>
      <c r="E12" s="116">
        <v>405</v>
      </c>
    </row>
    <row r="13" spans="2:5" ht="18.75" thickBot="1" x14ac:dyDescent="0.3">
      <c r="B13" s="77">
        <v>11</v>
      </c>
      <c r="C13" s="78" t="s">
        <v>84</v>
      </c>
      <c r="D13" s="115">
        <v>850</v>
      </c>
      <c r="E13" s="116">
        <v>245</v>
      </c>
    </row>
    <row r="14" spans="2:5" x14ac:dyDescent="0.25">
      <c r="D14">
        <f>SUM(D3:D13)</f>
        <v>21444</v>
      </c>
      <c r="E14">
        <f>SUM(E3:E13)</f>
        <v>4169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80" zoomScaleNormal="80" workbookViewId="0">
      <selection activeCell="G8" sqref="G8"/>
    </sheetView>
  </sheetViews>
  <sheetFormatPr defaultRowHeight="15" x14ac:dyDescent="0.25"/>
  <cols>
    <col min="1" max="1" width="9.85546875" customWidth="1"/>
    <col min="2" max="2" width="29.85546875" customWidth="1"/>
    <col min="3" max="3" width="11.85546875" customWidth="1"/>
    <col min="4" max="4" width="22.5703125" customWidth="1"/>
    <col min="9" max="9" width="54" customWidth="1"/>
  </cols>
  <sheetData>
    <row r="1" spans="1:4" ht="72.75" thickBot="1" x14ac:dyDescent="0.3">
      <c r="A1" s="64" t="s">
        <v>74</v>
      </c>
      <c r="B1" s="65" t="s">
        <v>66</v>
      </c>
      <c r="C1" s="64" t="s">
        <v>76</v>
      </c>
      <c r="D1" s="64" t="s">
        <v>75</v>
      </c>
    </row>
    <row r="2" spans="1:4" ht="18.75" thickBot="1" x14ac:dyDescent="0.3">
      <c r="A2" s="66">
        <v>1</v>
      </c>
      <c r="B2" s="67" t="s">
        <v>69</v>
      </c>
      <c r="C2" s="68">
        <v>1</v>
      </c>
      <c r="D2" s="73">
        <v>35</v>
      </c>
    </row>
    <row r="3" spans="1:4" ht="18.75" thickBot="1" x14ac:dyDescent="0.3">
      <c r="A3" s="66">
        <v>2</v>
      </c>
      <c r="B3" s="67" t="s">
        <v>71</v>
      </c>
      <c r="C3" s="68">
        <v>5</v>
      </c>
      <c r="D3" s="73">
        <v>186</v>
      </c>
    </row>
    <row r="4" spans="1:4" ht="18.75" thickBot="1" x14ac:dyDescent="0.3">
      <c r="A4" s="66">
        <v>3</v>
      </c>
      <c r="B4" s="70" t="s">
        <v>73</v>
      </c>
      <c r="C4" s="71">
        <v>5</v>
      </c>
      <c r="D4" s="72">
        <v>261</v>
      </c>
    </row>
    <row r="5" spans="1:4" ht="18.75" thickBot="1" x14ac:dyDescent="0.3">
      <c r="A5" s="66">
        <v>4</v>
      </c>
      <c r="B5" s="70" t="s">
        <v>70</v>
      </c>
      <c r="C5" s="71">
        <v>6</v>
      </c>
      <c r="D5" s="72">
        <v>179</v>
      </c>
    </row>
    <row r="6" spans="1:4" ht="18.75" thickBot="1" x14ac:dyDescent="0.3">
      <c r="A6" s="66">
        <v>5</v>
      </c>
      <c r="B6" s="70" t="s">
        <v>68</v>
      </c>
      <c r="C6" s="71">
        <v>9</v>
      </c>
      <c r="D6" s="72">
        <v>192</v>
      </c>
    </row>
    <row r="7" spans="1:4" ht="36.75" thickBot="1" x14ac:dyDescent="0.3">
      <c r="A7" s="66">
        <v>6</v>
      </c>
      <c r="B7" s="70" t="s">
        <v>79</v>
      </c>
      <c r="C7" s="71">
        <v>15</v>
      </c>
      <c r="D7" s="72">
        <v>1241</v>
      </c>
    </row>
    <row r="8" spans="1:4" ht="18.75" thickBot="1" x14ac:dyDescent="0.3">
      <c r="A8" s="66">
        <v>7</v>
      </c>
      <c r="B8" s="67" t="s">
        <v>67</v>
      </c>
      <c r="C8" s="68">
        <v>21</v>
      </c>
      <c r="D8" s="73">
        <v>775</v>
      </c>
    </row>
    <row r="9" spans="1:4" ht="54.75" thickBot="1" x14ac:dyDescent="0.3">
      <c r="A9" s="66">
        <v>8</v>
      </c>
      <c r="B9" s="67" t="s">
        <v>77</v>
      </c>
      <c r="C9" s="68">
        <v>32</v>
      </c>
      <c r="D9" s="73">
        <v>758</v>
      </c>
    </row>
    <row r="10" spans="1:4" ht="126.75" thickBot="1" x14ac:dyDescent="0.3">
      <c r="A10" s="66">
        <v>9</v>
      </c>
      <c r="B10" s="70" t="s">
        <v>78</v>
      </c>
      <c r="C10" s="71">
        <v>49</v>
      </c>
      <c r="D10" s="72">
        <v>1517</v>
      </c>
    </row>
    <row r="11" spans="1:4" ht="24" thickBot="1" x14ac:dyDescent="0.3">
      <c r="A11" s="69"/>
      <c r="B11" s="66" t="s">
        <v>72</v>
      </c>
      <c r="C11" s="68">
        <v>143</v>
      </c>
      <c r="D11" s="68">
        <v>5144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3" sqref="B12:B13"/>
    </sheetView>
  </sheetViews>
  <sheetFormatPr defaultRowHeight="15" x14ac:dyDescent="0.25"/>
  <cols>
    <col min="2" max="2" width="18.85546875" customWidth="1"/>
  </cols>
  <sheetData>
    <row r="1" spans="1:4" ht="51" customHeight="1" thickBot="1" x14ac:dyDescent="0.3">
      <c r="A1" s="103" t="s">
        <v>93</v>
      </c>
      <c r="B1" s="104" t="s">
        <v>66</v>
      </c>
      <c r="C1" s="103" t="s">
        <v>75</v>
      </c>
      <c r="D1" s="103" t="s">
        <v>76</v>
      </c>
    </row>
    <row r="2" spans="1:4" ht="105.75" thickBot="1" x14ac:dyDescent="0.35">
      <c r="A2" s="105">
        <v>1</v>
      </c>
      <c r="B2" s="106" t="s">
        <v>94</v>
      </c>
      <c r="C2" s="79">
        <v>1517</v>
      </c>
      <c r="D2" s="79">
        <v>49</v>
      </c>
    </row>
    <row r="3" spans="1:4" ht="19.5" thickBot="1" x14ac:dyDescent="0.35">
      <c r="A3" s="105">
        <v>2</v>
      </c>
      <c r="B3" s="106" t="s">
        <v>67</v>
      </c>
      <c r="C3" s="79">
        <v>775</v>
      </c>
      <c r="D3" s="79">
        <v>21</v>
      </c>
    </row>
    <row r="4" spans="1:4" ht="19.5" thickBot="1" x14ac:dyDescent="0.35">
      <c r="A4" s="105">
        <v>3</v>
      </c>
      <c r="B4" s="106" t="s">
        <v>68</v>
      </c>
      <c r="C4" s="79">
        <v>192</v>
      </c>
      <c r="D4" s="79">
        <v>9</v>
      </c>
    </row>
    <row r="5" spans="1:4" ht="19.5" thickBot="1" x14ac:dyDescent="0.35">
      <c r="A5" s="105">
        <v>4</v>
      </c>
      <c r="B5" s="106" t="s">
        <v>69</v>
      </c>
      <c r="C5" s="79">
        <v>35</v>
      </c>
      <c r="D5" s="79">
        <v>1</v>
      </c>
    </row>
    <row r="6" spans="1:4" ht="19.5" thickBot="1" x14ac:dyDescent="0.35">
      <c r="A6" s="105">
        <v>5</v>
      </c>
      <c r="B6" s="106" t="s">
        <v>70</v>
      </c>
      <c r="C6" s="79">
        <v>179</v>
      </c>
      <c r="D6" s="79">
        <v>6</v>
      </c>
    </row>
    <row r="7" spans="1:4" ht="30.75" thickBot="1" x14ac:dyDescent="0.35">
      <c r="A7" s="105">
        <v>6</v>
      </c>
      <c r="B7" s="106" t="s">
        <v>95</v>
      </c>
      <c r="C7" s="79">
        <v>186</v>
      </c>
      <c r="D7" s="79">
        <v>5</v>
      </c>
    </row>
    <row r="8" spans="1:4" ht="30.75" thickBot="1" x14ac:dyDescent="0.35">
      <c r="A8" s="105">
        <v>7</v>
      </c>
      <c r="B8" s="106" t="s">
        <v>87</v>
      </c>
      <c r="C8" s="79">
        <v>1241</v>
      </c>
      <c r="D8" s="79">
        <v>15</v>
      </c>
    </row>
    <row r="9" spans="1:4" ht="45.75" thickBot="1" x14ac:dyDescent="0.35">
      <c r="A9" s="105">
        <v>8</v>
      </c>
      <c r="B9" s="106" t="s">
        <v>96</v>
      </c>
      <c r="C9" s="79">
        <v>758</v>
      </c>
      <c r="D9" s="79">
        <v>32</v>
      </c>
    </row>
    <row r="10" spans="1:4" ht="19.5" thickBot="1" x14ac:dyDescent="0.35">
      <c r="A10" s="105">
        <v>9</v>
      </c>
      <c r="B10" s="106" t="s">
        <v>73</v>
      </c>
      <c r="C10" s="79">
        <v>261</v>
      </c>
      <c r="D10" s="79">
        <v>5</v>
      </c>
    </row>
    <row r="11" spans="1:4" ht="24" thickBot="1" x14ac:dyDescent="0.35">
      <c r="A11" s="107"/>
      <c r="B11" s="105" t="s">
        <v>72</v>
      </c>
      <c r="C11" s="79">
        <v>5144</v>
      </c>
      <c r="D11" s="79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order book positin &amp; Exec</vt:lpstr>
      <vt:lpstr>exec plan</vt:lpstr>
      <vt:lpstr>Sheet5</vt:lpstr>
      <vt:lpstr>Sheet7</vt:lpstr>
      <vt:lpstr>Dom Aquisition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2024-11-11T03:19:14Z</dcterms:created>
  <dcterms:modified xsi:type="dcterms:W3CDTF">2024-12-02T02:34:00Z</dcterms:modified>
</cp:coreProperties>
</file>