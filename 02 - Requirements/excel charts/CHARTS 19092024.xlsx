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drawings/drawing11.xml" ContentType="application/vnd.openxmlformats-officedocument.drawing+xml"/>
  <Override PartName="/xl/charts/chart34.xml" ContentType="application/vnd.openxmlformats-officedocument.drawingml.chart+xml"/>
  <Override PartName="/xl/drawings/drawing12.xml" ContentType="application/vnd.openxmlformats-officedocument.drawing+xml"/>
  <Override PartName="/xl/charts/chart35.xml" ContentType="application/vnd.openxmlformats-officedocument.drawingml.chart+xml"/>
  <Override PartName="/xl/drawings/drawing13.xml" ContentType="application/vnd.openxmlformats-officedocument.drawing+xml"/>
  <Override PartName="/xl/charts/chart36.xml" ContentType="application/vnd.openxmlformats-officedocument.drawingml.chart+xml"/>
  <Override PartName="/xl/drawings/drawing14.xml" ContentType="application/vnd.openxmlformats-officedocument.drawing+xml"/>
  <Override PartName="/xl/charts/chart37.xml" ContentType="application/vnd.openxmlformats-officedocument.drawingml.chart+xml"/>
  <Override PartName="/xl/drawings/drawing15.xml" ContentType="application/vnd.openxmlformats-officedocument.drawing+xml"/>
  <Override PartName="/xl/charts/chart38.xml" ContentType="application/vnd.openxmlformats-officedocument.drawingml.chart+xml"/>
  <Override PartName="/xl/drawings/drawing16.xml" ContentType="application/vnd.openxmlformats-officedocument.drawing+xml"/>
  <Override PartName="/xl/charts/chart39.xml" ContentType="application/vnd.openxmlformats-officedocument.drawingml.chart+xml"/>
  <Override PartName="/xl/drawings/drawing17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18.xml" ContentType="application/vnd.openxmlformats-officedocument.drawing+xml"/>
  <Override PartName="/xl/charts/chart4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  <Override PartName="/xl/charts/colors15.xml" ContentType="application/vnd.ms-office.chartcolorstyle+xml"/>
  <Override PartName="/xl/charts/style15.xml" ContentType="application/vnd.ms-office.chartstyle+xml"/>
  <Override PartName="/xl/charts/colors16.xml" ContentType="application/vnd.ms-office.chartcolorstyle+xml"/>
  <Override PartName="/xl/charts/style16.xml" ContentType="application/vnd.ms-office.chartstyle+xml"/>
  <Override PartName="/xl/charts/colors17.xml" ContentType="application/vnd.ms-office.chartcolorstyle+xml"/>
  <Override PartName="/xl/charts/style17.xml" ContentType="application/vnd.ms-office.chartstyle+xml"/>
  <Override PartName="/xl/charts/colors18.xml" ContentType="application/vnd.ms-office.chartcolorstyle+xml"/>
  <Override PartName="/xl/charts/style18.xml" ContentType="application/vnd.ms-office.chartstyle+xml"/>
  <Override PartName="/xl/charts/colors19.xml" ContentType="application/vnd.ms-office.chartcolorstyle+xml"/>
  <Override PartName="/xl/charts/style19.xml" ContentType="application/vnd.ms-office.chartstyle+xml"/>
  <Override PartName="/xl/charts/colors20.xml" ContentType="application/vnd.ms-office.chartcolorstyle+xml"/>
  <Override PartName="/xl/charts/style20.xml" ContentType="application/vnd.ms-office.chartstyle+xml"/>
  <Override PartName="/xl/charts/colors21.xml" ContentType="application/vnd.ms-office.chartcolorstyle+xml"/>
  <Override PartName="/xl/charts/style21.xml" ContentType="application/vnd.ms-office.chartstyle+xml"/>
  <Override PartName="/xl/charts/colors22.xml" ContentType="application/vnd.ms-office.chartcolorstyle+xml"/>
  <Override PartName="/xl/charts/style22.xml" ContentType="application/vnd.ms-office.chartstyle+xml"/>
  <Override PartName="/xl/charts/colors23.xml" ContentType="application/vnd.ms-office.chartcolorstyle+xml"/>
  <Override PartName="/xl/charts/style23.xml" ContentType="application/vnd.ms-office.chartstyle+xml"/>
  <Override PartName="/xl/charts/colors24.xml" ContentType="application/vnd.ms-office.chartcolorstyle+xml"/>
  <Override PartName="/xl/charts/style24.xml" ContentType="application/vnd.ms-office.chartstyle+xml"/>
  <Override PartName="/xl/charts/colors25.xml" ContentType="application/vnd.ms-office.chartcolorstyle+xml"/>
  <Override PartName="/xl/charts/style25.xml" ContentType="application/vnd.ms-office.chartstyle+xml"/>
  <Override PartName="/xl/charts/colors26.xml" ContentType="application/vnd.ms-office.chartcolorstyle+xml"/>
  <Override PartName="/xl/charts/style26.xml" ContentType="application/vnd.ms-office.chartstyle+xml"/>
  <Override PartName="/xl/charts/colors27.xml" ContentType="application/vnd.ms-office.chartcolorstyle+xml"/>
  <Override PartName="/xl/charts/style27.xml" ContentType="application/vnd.ms-office.chartstyle+xml"/>
  <Override PartName="/xl/charts/colors28.xml" ContentType="application/vnd.ms-office.chartcolorstyle+xml"/>
  <Override PartName="/xl/charts/style28.xml" ContentType="application/vnd.ms-office.chartstyle+xml"/>
  <Override PartName="/xl/charts/colors29.xml" ContentType="application/vnd.ms-office.chartcolorstyle+xml"/>
  <Override PartName="/xl/charts/style29.xml" ContentType="application/vnd.ms-office.chartstyle+xml"/>
  <Override PartName="/xl/charts/colors30.xml" ContentType="application/vnd.ms-office.chartcolorstyle+xml"/>
  <Override PartName="/xl/charts/style30.xml" ContentType="application/vnd.ms-office.chartstyle+xml"/>
  <Override PartName="/xl/charts/colors31.xml" ContentType="application/vnd.ms-office.chartcolorstyle+xml"/>
  <Override PartName="/xl/charts/style31.xml" ContentType="application/vnd.ms-office.chartstyle+xml"/>
  <Override PartName="/xl/charts/colors32.xml" ContentType="application/vnd.ms-office.chartcolorstyle+xml"/>
  <Override PartName="/xl/charts/style32.xml" ContentType="application/vnd.ms-office.chartstyle+xml"/>
  <Override PartName="/xl/charts/colors33.xml" ContentType="application/vnd.ms-office.chartcolorstyle+xml"/>
  <Override PartName="/xl/charts/style33.xml" ContentType="application/vnd.ms-office.chartstyle+xml"/>
  <Override PartName="/xl/charts/colors34.xml" ContentType="application/vnd.ms-office.chartcolorstyle+xml"/>
  <Override PartName="/xl/charts/style34.xml" ContentType="application/vnd.ms-office.chartstyle+xml"/>
  <Override PartName="/xl/charts/colors35.xml" ContentType="application/vnd.ms-office.chartcolorstyle+xml"/>
  <Override PartName="/xl/charts/style35.xml" ContentType="application/vnd.ms-office.chartstyle+xml"/>
  <Override PartName="/xl/charts/colors36.xml" ContentType="application/vnd.ms-office.chartcolorstyle+xml"/>
  <Override PartName="/xl/charts/style36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840" firstSheet="13" activeTab="18"/>
  </bookViews>
  <sheets>
    <sheet name="Business Performance" sheetId="1" r:id="rId1"/>
    <sheet name="order book" sheetId="2" r:id="rId2"/>
    <sheet name="opportunities pursued" sheetId="3" r:id="rId3"/>
    <sheet name="tender types" sheetId="5" r:id="rId4"/>
    <sheet name="segment wise" sheetId="4" r:id="rId5"/>
    <sheet name="tender analysis" sheetId="8" r:id="rId6"/>
    <sheet name="live tenders" sheetId="9" r:id="rId7"/>
    <sheet name=" Export " sheetId="10" r:id="rId8"/>
    <sheet name="export(march 2024)" sheetId="11" r:id="rId9"/>
    <sheet name="Acquisitions" sheetId="20" r:id="rId10"/>
    <sheet name="diversification " sheetId="13" r:id="rId11"/>
    <sheet name="Domestic Order" sheetId="14" r:id="rId12"/>
    <sheet name="Export Order Acquisition " sheetId="15" r:id="rId13"/>
    <sheet name="Sheet1" sheetId="21" r:id="rId14"/>
    <sheet name="summary" sheetId="16" r:id="rId15"/>
    <sheet name="turnover" sheetId="17" r:id="rId16"/>
    <sheet name="Execution Plan" sheetId="18" r:id="rId17"/>
    <sheet name="st and mt with def and non def" sheetId="22" r:id="rId18"/>
    <sheet name="Sheet2" sheetId="23" r:id="rId19"/>
  </sheets>
  <externalReferences>
    <externalReference r:id="rId20"/>
  </externalReferenc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22" l="1"/>
  <c r="C32" i="22"/>
  <c r="G23" i="22"/>
  <c r="F23" i="22"/>
  <c r="E23" i="22"/>
  <c r="D23" i="22"/>
  <c r="E8" i="22"/>
  <c r="D8" i="22"/>
  <c r="C8" i="22"/>
  <c r="H9" i="15" l="1"/>
  <c r="G9" i="15"/>
  <c r="F9" i="15"/>
  <c r="E9" i="15"/>
  <c r="D9" i="15"/>
  <c r="C9" i="15"/>
</calcChain>
</file>

<file path=xl/sharedStrings.xml><?xml version="1.0" encoding="utf-8"?>
<sst xmlns="http://schemas.openxmlformats.org/spreadsheetml/2006/main" count="438" uniqueCount="132">
  <si>
    <t>Sl no</t>
  </si>
  <si>
    <t>Year</t>
  </si>
  <si>
    <t>IDST</t>
  </si>
  <si>
    <t>IUST</t>
  </si>
  <si>
    <t>Direct Sales</t>
  </si>
  <si>
    <t>Total Value</t>
  </si>
  <si>
    <t>2020-21</t>
  </si>
  <si>
    <t>2021-22</t>
  </si>
  <si>
    <t>2022-23</t>
  </si>
  <si>
    <t xml:space="preserve">2023-24 </t>
  </si>
  <si>
    <t>Software SBU – Business Performance</t>
  </si>
  <si>
    <t>Executed Orders</t>
  </si>
  <si>
    <t>Orders Received</t>
  </si>
  <si>
    <t>2024-25</t>
  </si>
  <si>
    <t>Software SBU – Tender Types</t>
  </si>
  <si>
    <t>Software SBU – Opportunities PURSUED</t>
  </si>
  <si>
    <t>ST</t>
  </si>
  <si>
    <t>MT</t>
  </si>
  <si>
    <t>Values</t>
  </si>
  <si>
    <t>EOI/RFI</t>
  </si>
  <si>
    <t>RFP</t>
  </si>
  <si>
    <t>BQs</t>
  </si>
  <si>
    <t>Def</t>
  </si>
  <si>
    <t>Non Def</t>
  </si>
  <si>
    <t>Tender ANALYSIS – (Upto Mar 2024)</t>
  </si>
  <si>
    <t>Total Tenders</t>
  </si>
  <si>
    <t>Sl. No.</t>
  </si>
  <si>
    <t>Bid Category</t>
  </si>
  <si>
    <t>No of Bids</t>
  </si>
  <si>
    <t>Value in Rs Crores</t>
  </si>
  <si>
    <t xml:space="preserve">Software </t>
  </si>
  <si>
    <t>Hardware</t>
  </si>
  <si>
    <t xml:space="preserve">Software and Hardware </t>
  </si>
  <si>
    <t>Domain Wise Breakup</t>
  </si>
  <si>
    <t>SW Domain</t>
  </si>
  <si>
    <t>Value  in Rs Crores</t>
  </si>
  <si>
    <t xml:space="preserve">AI/ML </t>
  </si>
  <si>
    <t>App Development</t>
  </si>
  <si>
    <t>App Migration</t>
  </si>
  <si>
    <t>BFSI</t>
  </si>
  <si>
    <t>Cloud</t>
  </si>
  <si>
    <t>Customer Care</t>
  </si>
  <si>
    <t>Cyber Security</t>
  </si>
  <si>
    <t>E-Governance</t>
  </si>
  <si>
    <t>ERP</t>
  </si>
  <si>
    <t>Health</t>
  </si>
  <si>
    <t>NMS</t>
  </si>
  <si>
    <t>GIS</t>
  </si>
  <si>
    <t>O&amp;M (App)</t>
  </si>
  <si>
    <t>O&amp;M (COTS)</t>
  </si>
  <si>
    <t>Power</t>
  </si>
  <si>
    <t>Procurement</t>
  </si>
  <si>
    <t>Video Analytics</t>
  </si>
  <si>
    <t>Total</t>
  </si>
  <si>
    <t>Tender ANALYSIS – Live Tenders</t>
  </si>
  <si>
    <t>Live Tenders</t>
  </si>
  <si>
    <t>AI/ML</t>
  </si>
  <si>
    <t xml:space="preserve">Tender ANALYSIS – Export </t>
  </si>
  <si>
    <t>Total  Tenders</t>
  </si>
  <si>
    <t>Value in  Rs Crores</t>
  </si>
  <si>
    <t>Tender ANALYSIS – Export (In Mar 2024)</t>
  </si>
  <si>
    <t>Total Probable Acquisitions (2024-2026)</t>
  </si>
  <si>
    <t xml:space="preserve">Business available  </t>
  </si>
  <si>
    <r>
      <t>Obtainable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FFFFFF"/>
        <rFont val="Arial"/>
        <family val="2"/>
      </rPr>
      <t>by BEL</t>
    </r>
  </si>
  <si>
    <t>Digital Identity</t>
  </si>
  <si>
    <t xml:space="preserve">VMS, VA </t>
  </si>
  <si>
    <t>HMIS</t>
  </si>
  <si>
    <t>ICCC</t>
  </si>
  <si>
    <t xml:space="preserve">Digital Agriculture </t>
  </si>
  <si>
    <t xml:space="preserve">Simulators </t>
  </si>
  <si>
    <t>Diversification Areas</t>
  </si>
  <si>
    <t>Domestic Order Acquisition</t>
  </si>
  <si>
    <t>Sl</t>
  </si>
  <si>
    <t>Project</t>
  </si>
  <si>
    <t>2025-26</t>
  </si>
  <si>
    <t>2026-27</t>
  </si>
  <si>
    <t xml:space="preserve">2027-28 </t>
  </si>
  <si>
    <t xml:space="preserve">Digital Agriculture, BlockChain, ONGC (EACS) </t>
  </si>
  <si>
    <t> 70</t>
  </si>
  <si>
    <t>DRDO Projects, (CAIR, ADE, LRDE, DRDL), NSIL(ISRO)</t>
  </si>
  <si>
    <t>MoD Projects (CIDSS, CPSS, AI/ML, Hybrid QA)</t>
  </si>
  <si>
    <t xml:space="preserve">Export Order Acquisition </t>
  </si>
  <si>
    <t>2027-28</t>
  </si>
  <si>
    <t>IV&amp;V, Custom SW Development</t>
  </si>
  <si>
    <t>Total in Crores</t>
  </si>
  <si>
    <t>Total in Million USD</t>
  </si>
  <si>
    <t>Summary of Order Acquisition (in Crores)</t>
  </si>
  <si>
    <t>Software Business (Domestic)</t>
  </si>
  <si>
    <t>Exports</t>
  </si>
  <si>
    <t>Turnover in INR Crores</t>
  </si>
  <si>
    <t xml:space="preserve">IUST </t>
  </si>
  <si>
    <t>Direct order</t>
  </si>
  <si>
    <t>2023-24</t>
  </si>
  <si>
    <t>Execution Plan for Software SBU: 2024-25 to 2027-28 in Crores</t>
  </si>
  <si>
    <t>SW Business (Direct)</t>
  </si>
  <si>
    <t>IDST/IUST</t>
  </si>
  <si>
    <t>Total Turnover</t>
  </si>
  <si>
    <t>ERP &amp; Health care (TCL, AVNL,UP Metro, IAF, OFBs, State Dept. ERPs)</t>
  </si>
  <si>
    <r>
      <rPr>
        <b/>
        <sz val="14"/>
        <color theme="0"/>
        <rFont val="Tahoma"/>
        <family val="2"/>
      </rPr>
      <t>Order</t>
    </r>
    <r>
      <rPr>
        <b/>
        <sz val="14"/>
        <color rgb="FFFFFFFF"/>
        <rFont val="Tahoma"/>
        <family val="2"/>
      </rPr>
      <t xml:space="preserve"> Book</t>
    </r>
  </si>
  <si>
    <t>Software SBU – Order Book</t>
  </si>
  <si>
    <t>Sl.No</t>
  </si>
  <si>
    <t>2024-25(Planne)</t>
  </si>
  <si>
    <t>2024-25(domestic)</t>
  </si>
  <si>
    <t>2024-25(export)</t>
  </si>
  <si>
    <t>2023-24 (domestic)</t>
  </si>
  <si>
    <t>2023-24 (Export)</t>
  </si>
  <si>
    <t>2024-25(Q1)</t>
  </si>
  <si>
    <r>
      <t>Software SBU – Segment wise Bids Analysed</t>
    </r>
    <r>
      <rPr>
        <sz val="28"/>
        <color rgb="FF000000"/>
        <rFont val="Arial"/>
        <family val="2"/>
      </rPr>
      <t xml:space="preserve"> </t>
    </r>
  </si>
  <si>
    <t xml:space="preserve">Software SBU – Segment wise Orders received </t>
  </si>
  <si>
    <t>Obtainable by BEL</t>
  </si>
  <si>
    <t>2025 - 26</t>
  </si>
  <si>
    <t>2026 - 27</t>
  </si>
  <si>
    <t>2027 - 28</t>
  </si>
  <si>
    <t>2028 - 29</t>
  </si>
  <si>
    <t>2029 - 30</t>
  </si>
  <si>
    <t>Cloud Services</t>
  </si>
  <si>
    <t>LT</t>
  </si>
  <si>
    <t>sl no</t>
  </si>
  <si>
    <t>EOI/RFI Values</t>
  </si>
  <si>
    <t>PAT (OMAN), Simulators</t>
  </si>
  <si>
    <t> 20</t>
  </si>
  <si>
    <t> 25</t>
  </si>
  <si>
    <t> 30</t>
  </si>
  <si>
    <t>UDI (Unique Digital Identity) – Africa + Latin America</t>
  </si>
  <si>
    <t>2028-29</t>
  </si>
  <si>
    <t>2029-30</t>
  </si>
  <si>
    <t>Sl. No</t>
  </si>
  <si>
    <t>Projects</t>
  </si>
  <si>
    <t>2019-20</t>
  </si>
  <si>
    <t>2024-25(Q2)</t>
  </si>
  <si>
    <t>(Count)</t>
  </si>
  <si>
    <t>Total Value in Crores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</si>
</sst>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1"/>
      <color rgb="FF000000"/>
      <name val="Copperplate Gothic Light"/>
      <family val="2"/>
    </font>
    <font>
      <sz val="18"/>
      <name val="Arial"/>
      <family val="2"/>
    </font>
    <font>
      <b/>
      <sz val="14"/>
      <color rgb="FFFFFFFF"/>
      <name val="Tahoma"/>
      <family val="2"/>
    </font>
    <font>
      <sz val="16"/>
      <color rgb="FF000000"/>
      <name val="Tahoma"/>
      <family val="2"/>
    </font>
    <font>
      <b/>
      <sz val="14"/>
      <color rgb="FFC00000"/>
      <name val="Tahoma"/>
      <family val="2"/>
    </font>
    <font>
      <sz val="16"/>
      <color rgb="FF000000"/>
      <name val="Calibri"/>
      <family val="2"/>
    </font>
    <font>
      <b/>
      <sz val="14"/>
      <color rgb="FFFFFFFF"/>
      <name val="Calibri"/>
      <family val="2"/>
    </font>
    <font>
      <b/>
      <sz val="31"/>
      <color theme="1"/>
      <name val="Copperplate Gothic Light"/>
      <family val="2"/>
    </font>
    <font>
      <sz val="31"/>
      <color theme="1"/>
      <name val="Copperplate Gothic Light"/>
      <family val="2"/>
    </font>
    <font>
      <b/>
      <sz val="12"/>
      <color rgb="FFFFFFFF"/>
      <name val="Arial"/>
      <family val="2"/>
    </font>
    <font>
      <sz val="12"/>
      <color rgb="FF1F497D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rgb="FF17375E"/>
      <name val="Copperplate Gothic Light"/>
      <family val="2"/>
    </font>
    <font>
      <sz val="11"/>
      <color rgb="FF10253F"/>
      <name val="Arial"/>
      <family val="2"/>
    </font>
    <font>
      <sz val="11"/>
      <color rgb="FF1F497D"/>
      <name val="Arial"/>
      <family val="2"/>
    </font>
    <font>
      <b/>
      <sz val="11"/>
      <color rgb="FF10253F"/>
      <name val="Arial"/>
      <family val="2"/>
    </font>
    <font>
      <b/>
      <sz val="28"/>
      <color rgb="FF17375E"/>
      <name val="Copperplate Gothic Light"/>
      <family val="2"/>
    </font>
    <font>
      <b/>
      <sz val="14"/>
      <color rgb="FF17375E"/>
      <name val="Copperplate Gothic Light"/>
      <family val="2"/>
    </font>
    <font>
      <b/>
      <sz val="16"/>
      <color theme="1"/>
      <name val="Copperplate Gothic Light"/>
      <family val="2"/>
    </font>
    <font>
      <b/>
      <sz val="12"/>
      <color rgb="FF1F497D"/>
      <name val="Arial"/>
      <family val="2"/>
    </font>
    <font>
      <b/>
      <sz val="26"/>
      <color rgb="FF17375E"/>
      <name val="Copperplate Gothic Light"/>
      <family val="2"/>
    </font>
    <font>
      <b/>
      <sz val="14"/>
      <color theme="1"/>
      <name val="Copperplate Gothic Light"/>
      <family val="2"/>
    </font>
    <font>
      <b/>
      <sz val="12"/>
      <color rgb="FFFF0000"/>
      <name val="Arial"/>
      <family val="2"/>
    </font>
    <font>
      <sz val="16"/>
      <color rgb="FF1F497D"/>
      <name val="Arial"/>
      <family val="2"/>
    </font>
    <font>
      <sz val="16"/>
      <color rgb="FF1F497D"/>
      <name val="Calibri"/>
      <family val="2"/>
    </font>
    <font>
      <b/>
      <sz val="16"/>
      <color rgb="FF1F497D"/>
      <name val="Calibri"/>
      <family val="2"/>
    </font>
    <font>
      <b/>
      <sz val="12"/>
      <color rgb="FFFFFFFF"/>
      <name val="Bookman Old Style"/>
      <family val="1"/>
    </font>
    <font>
      <sz val="12"/>
      <color rgb="FF000066"/>
      <name val="Bookman Old Style"/>
      <family val="1"/>
    </font>
    <font>
      <sz val="12"/>
      <name val="Arial"/>
      <family val="2"/>
    </font>
    <font>
      <b/>
      <sz val="12"/>
      <color rgb="FFC00000"/>
      <name val="Bookman Old Style"/>
      <family val="1"/>
    </font>
    <font>
      <b/>
      <sz val="12"/>
      <color rgb="FF17375E"/>
      <name val="Bookman Old Style"/>
      <family val="1"/>
    </font>
    <font>
      <b/>
      <sz val="12"/>
      <color rgb="FF953735"/>
      <name val="Bookman Old Style"/>
      <family val="1"/>
    </font>
    <font>
      <b/>
      <sz val="24"/>
      <color rgb="FF17375E"/>
      <name val="Copperplate Gothic Light"/>
      <family val="2"/>
    </font>
    <font>
      <b/>
      <sz val="14"/>
      <color theme="0"/>
      <name val="Tahoma"/>
      <family val="2"/>
    </font>
    <font>
      <b/>
      <sz val="11"/>
      <color rgb="FFFFFFFF"/>
      <name val="Tahoma"/>
      <family val="2"/>
    </font>
    <font>
      <sz val="12"/>
      <color rgb="FF000000"/>
      <name val="Tahoma"/>
      <family val="2"/>
    </font>
    <font>
      <sz val="11"/>
      <color rgb="FF000000"/>
      <name val="Tahoma"/>
      <family val="2"/>
    </font>
    <font>
      <sz val="14"/>
      <color rgb="FF000000"/>
      <name val="Tahoma"/>
      <family val="2"/>
    </font>
    <font>
      <sz val="16"/>
      <color rgb="FF000000"/>
      <name val="Arial"/>
      <family val="2"/>
    </font>
    <font>
      <b/>
      <sz val="16"/>
      <color rgb="FFFFFFFF"/>
      <name val="Tahoma"/>
      <family val="2"/>
    </font>
    <font>
      <b/>
      <sz val="28"/>
      <color rgb="FF000000"/>
      <name val="Copperplate Gothic Light"/>
      <family val="2"/>
    </font>
    <font>
      <sz val="28"/>
      <color rgb="FF000000"/>
      <name val="Arial"/>
      <family val="2"/>
    </font>
    <font>
      <sz val="18"/>
      <color rgb="FF000000"/>
      <name val="Arial"/>
      <family val="2"/>
    </font>
    <font>
      <sz val="16"/>
      <color rgb="FF2C2C2C"/>
      <name val="Arial"/>
      <family val="2"/>
    </font>
    <font>
      <sz val="14"/>
      <color rgb="FF2C2C2C"/>
      <name val="Tahoma"/>
      <family val="2"/>
    </font>
    <font>
      <b/>
      <sz val="18"/>
      <color rgb="FFFFFFFF"/>
      <name val="Tahoma"/>
      <family val="2"/>
    </font>
    <font>
      <sz val="18"/>
      <color rgb="FF2C2C2C"/>
      <name val="Tahoma"/>
      <family val="2"/>
    </font>
    <font>
      <sz val="22"/>
      <color rgb="FF2C2C2C"/>
      <name val="Tahoma"/>
      <family val="2"/>
    </font>
    <font>
      <b/>
      <sz val="22"/>
      <color rgb="FF2C2C2C"/>
      <name val="Tahoma"/>
      <family val="2"/>
    </font>
    <font>
      <b/>
      <sz val="16"/>
      <color rgb="FFFFFFFF"/>
      <name val="Yu Gothic UI Semibold"/>
      <family val="2"/>
    </font>
    <font>
      <sz val="16"/>
      <color theme="1" tint="4.9989318521683403E-2"/>
      <name val="Yu Gothic UI Semibold"/>
      <family val="2"/>
    </font>
    <font>
      <b/>
      <sz val="16"/>
      <color theme="1" tint="4.9989318521683403E-2"/>
      <name val="Yu Gothic UI Semibold"/>
      <family val="2"/>
    </font>
    <font>
      <sz val="16"/>
      <color theme="1" tint="4.9989318521683403E-2"/>
      <name val="Arial"/>
      <family val="2"/>
    </font>
    <font>
      <b/>
      <sz val="12"/>
      <color rgb="FFFFFFFF"/>
      <name val="Yu Gothic UI Semibold"/>
      <family val="2"/>
    </font>
    <font>
      <sz val="12"/>
      <color rgb="FF2C2C2C"/>
      <name val="Yu Gothic UI Semibold"/>
      <family val="2"/>
    </font>
    <font>
      <b/>
      <sz val="12"/>
      <color rgb="FF2C2C2C"/>
      <name val="Yu Gothic UI Semibold"/>
      <family val="2"/>
    </font>
    <font>
      <b/>
      <sz val="11"/>
      <color rgb="FFFFFFFF"/>
      <name val="Yu Gothic UI Semibold"/>
      <family val="2"/>
    </font>
    <font>
      <b/>
      <sz val="10.5"/>
      <color rgb="FFFFFFFF"/>
      <name val="Yu Gothic UI Semibold"/>
      <family val="2"/>
    </font>
    <font>
      <b/>
      <sz val="11"/>
      <color rgb="FF2C2C2C"/>
      <name val="Yu Gothic UI Semibold"/>
      <family val="2"/>
    </font>
    <font>
      <sz val="11"/>
      <color rgb="FF2C2C2C"/>
      <name val="Yu Gothic UI Semibold"/>
      <family val="2"/>
    </font>
    <font>
      <b/>
      <sz val="10.5"/>
      <color rgb="FFFFFFFF"/>
      <name val="Arial Black"/>
    </font>
    <font>
      <sz val="11"/>
      <color rgb="FF000000"/>
      <name val="Yu Gothic UI Semibold"/>
    </font>
    <font>
      <sz val="18"/>
      <name val="Arial"/>
    </font>
    <font>
      <b/>
      <sz val="12"/>
      <color rgb="FFFFFFFF"/>
      <name val="Yu Gothic UI Semibold"/>
    </font>
    <font>
      <b/>
      <sz val="9"/>
      <color rgb="FFFFFFFF"/>
      <name val="Yu Gothic UI Semibold"/>
    </font>
    <font>
      <sz val="11"/>
      <color rgb="FF10253F"/>
      <name val="Yu Gothic UI Semibold"/>
    </font>
    <font>
      <b/>
      <sz val="11"/>
      <color rgb="FF000000"/>
      <name val="Arial"/>
    </font>
  </fonts>
  <fills count="2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6C0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E8D0D0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EDEAF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DEFE9"/>
        <bgColor indexed="64"/>
      </patternFill>
    </fill>
    <fill>
      <patternFill patternType="solid">
        <fgColor rgb="FFB9CD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53735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CCCFD7"/>
        <bgColor indexed="64"/>
      </patternFill>
    </fill>
    <fill>
      <patternFill patternType="solid">
        <fgColor rgb="FFE7E9EC"/>
        <bgColor indexed="64"/>
      </patternFill>
    </fill>
    <fill>
      <patternFill patternType="solid">
        <fgColor rgb="FFFCDDCF"/>
        <bgColor indexed="64"/>
      </patternFill>
    </fill>
  </fills>
  <borders count="3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1F497D"/>
      </left>
      <right style="medium">
        <color rgb="FF1F497D"/>
      </right>
      <top style="medium">
        <color rgb="FF1F497D"/>
      </top>
      <bottom style="medium">
        <color rgb="FF1F497D"/>
      </bottom>
      <diagonal/>
    </border>
    <border>
      <left style="medium">
        <color rgb="FF1F497D"/>
      </left>
      <right style="medium">
        <color rgb="FF1F497D"/>
      </right>
      <top style="medium">
        <color rgb="FF1F497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79646"/>
      </left>
      <right style="medium">
        <color rgb="FFF79646"/>
      </right>
      <top style="medium">
        <color rgb="FFF79646"/>
      </top>
      <bottom style="medium">
        <color rgb="FFF79646"/>
      </bottom>
      <diagonal/>
    </border>
    <border>
      <left style="medium">
        <color rgb="FF8064A2"/>
      </left>
      <right/>
      <top style="medium">
        <color rgb="FF8064A2"/>
      </top>
      <bottom style="medium">
        <color rgb="FF8064A2"/>
      </bottom>
      <diagonal/>
    </border>
    <border>
      <left/>
      <right/>
      <top style="medium">
        <color rgb="FF8064A2"/>
      </top>
      <bottom style="medium">
        <color rgb="FF8064A2"/>
      </bottom>
      <diagonal/>
    </border>
    <border>
      <left/>
      <right style="medium">
        <color rgb="FF8064A2"/>
      </right>
      <top style="medium">
        <color rgb="FF8064A2"/>
      </top>
      <bottom style="medium">
        <color rgb="FF8064A2"/>
      </bottom>
      <diagonal/>
    </border>
    <border>
      <left style="medium">
        <color rgb="FFF79646"/>
      </left>
      <right/>
      <top style="medium">
        <color rgb="FFF79646"/>
      </top>
      <bottom style="medium">
        <color rgb="FFF79646"/>
      </bottom>
      <diagonal/>
    </border>
    <border>
      <left/>
      <right/>
      <top style="medium">
        <color rgb="FFF79646"/>
      </top>
      <bottom style="medium">
        <color rgb="FFF79646"/>
      </bottom>
      <diagonal/>
    </border>
    <border>
      <left/>
      <right style="medium">
        <color rgb="FFF79646"/>
      </right>
      <top style="medium">
        <color rgb="FFF79646"/>
      </top>
      <bottom style="medium">
        <color rgb="FFF79646"/>
      </bottom>
      <diagonal/>
    </border>
    <border>
      <left style="medium">
        <color rgb="FFC0504D"/>
      </left>
      <right/>
      <top style="medium">
        <color rgb="FFC0504D"/>
      </top>
      <bottom style="medium">
        <color rgb="FFC0504D"/>
      </bottom>
      <diagonal/>
    </border>
    <border>
      <left style="medium">
        <color rgb="FFC0504D"/>
      </left>
      <right/>
      <top style="medium">
        <color rgb="FFC0504D"/>
      </top>
      <bottom/>
      <diagonal/>
    </border>
    <border>
      <left style="medium">
        <color rgb="FFC0504D"/>
      </left>
      <right/>
      <top/>
      <bottom style="medium">
        <color rgb="FFC0504D"/>
      </bottom>
      <diagonal/>
    </border>
    <border>
      <left/>
      <right/>
      <top style="medium">
        <color rgb="FFC0504D"/>
      </top>
      <bottom style="medium">
        <color rgb="FFC0504D"/>
      </bottom>
      <diagonal/>
    </border>
    <border>
      <left/>
      <right/>
      <top style="medium">
        <color rgb="FFC0504D"/>
      </top>
      <bottom/>
      <diagonal/>
    </border>
    <border>
      <left/>
      <right/>
      <top/>
      <bottom style="medium">
        <color rgb="FFC0504D"/>
      </bottom>
      <diagonal/>
    </border>
    <border>
      <left/>
      <right style="medium">
        <color rgb="FFC0504D"/>
      </right>
      <top style="medium">
        <color rgb="FFC0504D"/>
      </top>
      <bottom style="medium">
        <color rgb="FFC0504D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376092"/>
      </left>
      <right style="medium">
        <color rgb="FF376092"/>
      </right>
      <top style="medium">
        <color rgb="FF376092"/>
      </top>
      <bottom style="medium">
        <color rgb="FF376092"/>
      </bottom>
      <diagonal/>
    </border>
    <border>
      <left style="medium">
        <color rgb="FF376092"/>
      </left>
      <right style="medium">
        <color rgb="FF376092"/>
      </right>
      <top style="medium">
        <color rgb="FF376092"/>
      </top>
      <bottom/>
      <diagonal/>
    </border>
    <border>
      <left style="medium">
        <color rgb="FF376092"/>
      </left>
      <right style="medium">
        <color rgb="FF376092"/>
      </right>
      <top/>
      <bottom style="medium">
        <color rgb="FF376092"/>
      </bottom>
      <diagonal/>
    </border>
    <border>
      <left style="medium">
        <color rgb="FF1F497D"/>
      </left>
      <right style="medium">
        <color rgb="FF1F497D"/>
      </right>
      <top style="medium">
        <color rgb="FFFFFFFF"/>
      </top>
      <bottom style="medium">
        <color rgb="FF1F497D"/>
      </bottom>
      <diagonal/>
    </border>
    <border>
      <left style="medium">
        <color rgb="FF604A7B"/>
      </left>
      <right style="medium">
        <color rgb="FF604A7B"/>
      </right>
      <top style="medium">
        <color rgb="FF604A7B"/>
      </top>
      <bottom style="medium">
        <color rgb="FF604A7B"/>
      </bottom>
      <diagonal/>
    </border>
    <border>
      <left style="medium">
        <color rgb="FF984807"/>
      </left>
      <right style="medium">
        <color rgb="FF984807"/>
      </right>
      <top style="medium">
        <color rgb="FF984807"/>
      </top>
      <bottom style="medium">
        <color rgb="FF984807"/>
      </bottom>
      <diagonal/>
    </border>
    <border>
      <left style="medium">
        <color rgb="FFE46C0A"/>
      </left>
      <right style="medium">
        <color rgb="FFE46C0A"/>
      </right>
      <top style="medium">
        <color rgb="FF984807"/>
      </top>
      <bottom style="medium">
        <color rgb="FFE46C0A"/>
      </bottom>
      <diagonal/>
    </border>
    <border>
      <left style="medium">
        <color rgb="FFE46C0A"/>
      </left>
      <right style="medium">
        <color rgb="FFE46C0A"/>
      </right>
      <top/>
      <bottom/>
      <diagonal/>
    </border>
    <border>
      <left style="medium">
        <color rgb="FFE46C0A"/>
      </left>
      <right style="medium">
        <color rgb="FFE46C0A"/>
      </right>
      <top style="medium">
        <color rgb="FFE46C0A"/>
      </top>
      <bottom style="medium">
        <color rgb="FFE46C0A"/>
      </bottom>
      <diagonal/>
    </border>
    <border>
      <left style="medium">
        <color rgb="FF984807"/>
      </left>
      <right style="medium">
        <color rgb="FF984807"/>
      </right>
      <top style="medium">
        <color rgb="FF984807"/>
      </top>
      <bottom/>
      <diagonal/>
    </border>
    <border>
      <left style="medium">
        <color rgb="FF984807"/>
      </left>
      <right style="medium">
        <color rgb="FF984807"/>
      </right>
      <top/>
      <bottom style="medium">
        <color rgb="FF984807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2" fillId="0" borderId="0" xfId="0" applyFont="1" applyAlignment="1">
      <alignment horizontal="left" vertical="center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vertical="center" wrapText="1" readingOrder="1"/>
    </xf>
    <xf numFmtId="0" fontId="7" fillId="4" borderId="3" xfId="0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horizontal="center" vertical="center" wrapText="1" readingOrder="1"/>
    </xf>
    <xf numFmtId="0" fontId="0" fillId="0" borderId="0" xfId="0" applyBorder="1"/>
    <xf numFmtId="0" fontId="8" fillId="2" borderId="1" xfId="0" applyFont="1" applyFill="1" applyBorder="1" applyAlignment="1">
      <alignment horizontal="center" vertical="center" wrapText="1" readingOrder="1"/>
    </xf>
    <xf numFmtId="0" fontId="9" fillId="0" borderId="0" xfId="0" applyFont="1"/>
    <xf numFmtId="0" fontId="10" fillId="0" borderId="0" xfId="0" applyFont="1"/>
    <xf numFmtId="0" fontId="11" fillId="2" borderId="1" xfId="0" applyFont="1" applyFill="1" applyBorder="1" applyAlignment="1">
      <alignment horizontal="left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12" fillId="3" borderId="2" xfId="0" applyFont="1" applyFill="1" applyBorder="1" applyAlignment="1">
      <alignment horizontal="center" vertical="center" wrapText="1" readingOrder="1"/>
    </xf>
    <xf numFmtId="0" fontId="12" fillId="3" borderId="2" xfId="0" applyFont="1" applyFill="1" applyBorder="1" applyAlignment="1">
      <alignment horizontal="left" vertical="center" wrapText="1" readingOrder="1"/>
    </xf>
    <xf numFmtId="0" fontId="12" fillId="3" borderId="2" xfId="0" applyFont="1" applyFill="1" applyBorder="1" applyAlignment="1">
      <alignment horizontal="right" vertical="center" wrapText="1" indent="1" readingOrder="1"/>
    </xf>
    <xf numFmtId="3" fontId="12" fillId="3" borderId="2" xfId="0" applyNumberFormat="1" applyFont="1" applyFill="1" applyBorder="1" applyAlignment="1">
      <alignment horizontal="right" vertical="center" wrapText="1" indent="1" readingOrder="1"/>
    </xf>
    <xf numFmtId="0" fontId="12" fillId="4" borderId="3" xfId="0" applyFont="1" applyFill="1" applyBorder="1" applyAlignment="1">
      <alignment horizontal="center" vertical="center" wrapText="1" readingOrder="1"/>
    </xf>
    <xf numFmtId="0" fontId="12" fillId="4" borderId="3" xfId="0" applyFont="1" applyFill="1" applyBorder="1" applyAlignment="1">
      <alignment horizontal="left" vertical="center" wrapText="1" readingOrder="1"/>
    </xf>
    <xf numFmtId="0" fontId="12" fillId="4" borderId="3" xfId="0" applyFont="1" applyFill="1" applyBorder="1" applyAlignment="1">
      <alignment horizontal="right" vertical="center" wrapText="1" indent="1" readingOrder="1"/>
    </xf>
    <xf numFmtId="3" fontId="12" fillId="4" borderId="3" xfId="0" applyNumberFormat="1" applyFont="1" applyFill="1" applyBorder="1" applyAlignment="1">
      <alignment horizontal="right" vertical="center" wrapText="1" indent="1" readingOrder="1"/>
    </xf>
    <xf numFmtId="0" fontId="12" fillId="3" borderId="3" xfId="0" applyFont="1" applyFill="1" applyBorder="1" applyAlignment="1">
      <alignment horizontal="center" vertical="center" wrapText="1" readingOrder="1"/>
    </xf>
    <xf numFmtId="0" fontId="12" fillId="3" borderId="3" xfId="0" applyFont="1" applyFill="1" applyBorder="1" applyAlignment="1">
      <alignment horizontal="left" vertical="center" wrapText="1" readingOrder="1"/>
    </xf>
    <xf numFmtId="0" fontId="12" fillId="3" borderId="3" xfId="0" applyFont="1" applyFill="1" applyBorder="1" applyAlignment="1">
      <alignment horizontal="right" vertical="center" wrapText="1" indent="1" readingOrder="1"/>
    </xf>
    <xf numFmtId="3" fontId="12" fillId="3" borderId="3" xfId="0" applyNumberFormat="1" applyFont="1" applyFill="1" applyBorder="1" applyAlignment="1">
      <alignment horizontal="right" vertical="center" wrapText="1" indent="1" readingOrder="1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 vertical="center" readingOrder="1"/>
    </xf>
    <xf numFmtId="0" fontId="15" fillId="5" borderId="2" xfId="0" applyFont="1" applyFill="1" applyBorder="1" applyAlignment="1">
      <alignment horizontal="center" vertical="center" wrapText="1" readingOrder="1"/>
    </xf>
    <xf numFmtId="0" fontId="15" fillId="5" borderId="2" xfId="0" applyFont="1" applyFill="1" applyBorder="1" applyAlignment="1">
      <alignment horizontal="left" vertical="center" wrapText="1" readingOrder="1"/>
    </xf>
    <xf numFmtId="0" fontId="15" fillId="5" borderId="2" xfId="0" applyFont="1" applyFill="1" applyBorder="1" applyAlignment="1">
      <alignment horizontal="right" vertical="center" wrapText="1" readingOrder="1"/>
    </xf>
    <xf numFmtId="0" fontId="15" fillId="6" borderId="3" xfId="0" applyFont="1" applyFill="1" applyBorder="1" applyAlignment="1">
      <alignment horizontal="center" vertical="center" wrapText="1" readingOrder="1"/>
    </xf>
    <xf numFmtId="0" fontId="15" fillId="6" borderId="3" xfId="0" applyFont="1" applyFill="1" applyBorder="1" applyAlignment="1">
      <alignment horizontal="left" vertical="center" wrapText="1" readingOrder="1"/>
    </xf>
    <xf numFmtId="0" fontId="15" fillId="6" borderId="3" xfId="0" applyFont="1" applyFill="1" applyBorder="1" applyAlignment="1">
      <alignment horizontal="right" vertical="center" wrapText="1" readingOrder="1"/>
    </xf>
    <xf numFmtId="0" fontId="15" fillId="5" borderId="3" xfId="0" applyFont="1" applyFill="1" applyBorder="1" applyAlignment="1">
      <alignment horizontal="center" vertical="center" wrapText="1" readingOrder="1"/>
    </xf>
    <xf numFmtId="0" fontId="15" fillId="5" borderId="3" xfId="0" applyFont="1" applyFill="1" applyBorder="1" applyAlignment="1">
      <alignment horizontal="left" vertical="center" wrapText="1" readingOrder="1"/>
    </xf>
    <xf numFmtId="0" fontId="15" fillId="5" borderId="3" xfId="0" applyFont="1" applyFill="1" applyBorder="1" applyAlignment="1">
      <alignment horizontal="right" vertical="center" wrapText="1" readingOrder="1"/>
    </xf>
    <xf numFmtId="3" fontId="15" fillId="5" borderId="3" xfId="0" applyNumberFormat="1" applyFont="1" applyFill="1" applyBorder="1" applyAlignment="1">
      <alignment horizontal="right" vertical="center" wrapText="1" readingOrder="1"/>
    </xf>
    <xf numFmtId="0" fontId="16" fillId="5" borderId="3" xfId="0" applyFont="1" applyFill="1" applyBorder="1" applyAlignment="1">
      <alignment horizontal="center" vertical="center" wrapText="1" readingOrder="1"/>
    </xf>
    <xf numFmtId="0" fontId="17" fillId="5" borderId="3" xfId="0" applyFont="1" applyFill="1" applyBorder="1" applyAlignment="1">
      <alignment horizontal="center" vertical="center" wrapText="1" readingOrder="1"/>
    </xf>
    <xf numFmtId="0" fontId="17" fillId="5" borderId="3" xfId="0" applyFont="1" applyFill="1" applyBorder="1" applyAlignment="1">
      <alignment horizontal="right" vertical="center" wrapText="1" readingOrder="1"/>
    </xf>
    <xf numFmtId="3" fontId="17" fillId="5" borderId="3" xfId="0" applyNumberFormat="1" applyFont="1" applyFill="1" applyBorder="1" applyAlignment="1">
      <alignment horizontal="right" vertical="center" wrapText="1" readingOrder="1"/>
    </xf>
    <xf numFmtId="0" fontId="18" fillId="0" borderId="0" xfId="0" applyFont="1"/>
    <xf numFmtId="0" fontId="19" fillId="0" borderId="0" xfId="0" applyFont="1" applyAlignment="1">
      <alignment horizontal="left" vertical="center" readingOrder="1"/>
    </xf>
    <xf numFmtId="0" fontId="20" fillId="0" borderId="0" xfId="0" applyFont="1" applyAlignment="1">
      <alignment horizontal="left"/>
    </xf>
    <xf numFmtId="0" fontId="12" fillId="5" borderId="2" xfId="0" applyFont="1" applyFill="1" applyBorder="1" applyAlignment="1">
      <alignment horizontal="center" vertical="center" wrapText="1" readingOrder="1"/>
    </xf>
    <xf numFmtId="0" fontId="12" fillId="5" borderId="2" xfId="0" applyFont="1" applyFill="1" applyBorder="1" applyAlignment="1">
      <alignment horizontal="left" vertical="center" wrapText="1" readingOrder="1"/>
    </xf>
    <xf numFmtId="0" fontId="12" fillId="5" borderId="2" xfId="0" applyFont="1" applyFill="1" applyBorder="1" applyAlignment="1">
      <alignment horizontal="right" vertical="center" wrapText="1" readingOrder="1"/>
    </xf>
    <xf numFmtId="0" fontId="12" fillId="5" borderId="3" xfId="0" applyFont="1" applyFill="1" applyBorder="1" applyAlignment="1">
      <alignment horizontal="center" vertical="center" wrapText="1" readingOrder="1"/>
    </xf>
    <xf numFmtId="0" fontId="12" fillId="5" borderId="3" xfId="0" applyFont="1" applyFill="1" applyBorder="1" applyAlignment="1">
      <alignment horizontal="left" vertical="center" wrapText="1" readingOrder="1"/>
    </xf>
    <xf numFmtId="0" fontId="12" fillId="5" borderId="3" xfId="0" applyFont="1" applyFill="1" applyBorder="1" applyAlignment="1">
      <alignment horizontal="right" vertical="center" wrapText="1" readingOrder="1"/>
    </xf>
    <xf numFmtId="0" fontId="12" fillId="3" borderId="3" xfId="0" applyFont="1" applyFill="1" applyBorder="1" applyAlignment="1">
      <alignment horizontal="right" vertical="center" wrapText="1" readingOrder="1"/>
    </xf>
    <xf numFmtId="0" fontId="12" fillId="4" borderId="3" xfId="0" applyFont="1" applyFill="1" applyBorder="1" applyAlignment="1">
      <alignment horizontal="right" vertical="center" wrapText="1" readingOrder="1"/>
    </xf>
    <xf numFmtId="0" fontId="12" fillId="5" borderId="3" xfId="0" applyFont="1" applyFill="1" applyBorder="1" applyAlignment="1">
      <alignment horizontal="right" vertical="center" wrapText="1" indent="1" readingOrder="1"/>
    </xf>
    <xf numFmtId="0" fontId="3" fillId="3" borderId="3" xfId="0" applyFont="1" applyFill="1" applyBorder="1" applyAlignment="1">
      <alignment vertical="top" wrapText="1"/>
    </xf>
    <xf numFmtId="0" fontId="21" fillId="3" borderId="3" xfId="0" applyFont="1" applyFill="1" applyBorder="1" applyAlignment="1">
      <alignment horizontal="left" vertical="center" wrapText="1" readingOrder="1"/>
    </xf>
    <xf numFmtId="0" fontId="21" fillId="3" borderId="3" xfId="0" applyFont="1" applyFill="1" applyBorder="1" applyAlignment="1">
      <alignment horizontal="right" vertical="center" wrapText="1" indent="1" readingOrder="1"/>
    </xf>
    <xf numFmtId="3" fontId="21" fillId="3" borderId="3" xfId="0" applyNumberFormat="1" applyFont="1" applyFill="1" applyBorder="1" applyAlignment="1">
      <alignment horizontal="right" vertical="center" wrapText="1" indent="1" readingOrder="1"/>
    </xf>
    <xf numFmtId="0" fontId="22" fillId="0" borderId="0" xfId="0" applyFont="1"/>
    <xf numFmtId="0" fontId="23" fillId="0" borderId="0" xfId="0" applyFont="1"/>
    <xf numFmtId="0" fontId="16" fillId="3" borderId="2" xfId="0" applyFont="1" applyFill="1" applyBorder="1" applyAlignment="1">
      <alignment horizontal="right" vertical="center" wrapText="1" indent="1" readingOrder="1"/>
    </xf>
    <xf numFmtId="0" fontId="16" fillId="4" borderId="3" xfId="0" applyFont="1" applyFill="1" applyBorder="1" applyAlignment="1">
      <alignment horizontal="right" vertical="center" wrapText="1" indent="1" readingOrder="1"/>
    </xf>
    <xf numFmtId="0" fontId="16" fillId="3" borderId="3" xfId="0" applyFont="1" applyFill="1" applyBorder="1" applyAlignment="1">
      <alignment horizontal="right" vertical="center" wrapText="1" indent="1" readingOrder="1"/>
    </xf>
    <xf numFmtId="0" fontId="21" fillId="3" borderId="3" xfId="0" applyFont="1" applyFill="1" applyBorder="1" applyAlignment="1">
      <alignment horizontal="right" vertical="center" wrapText="1" readingOrder="1"/>
    </xf>
    <xf numFmtId="0" fontId="25" fillId="3" borderId="2" xfId="0" applyFont="1" applyFill="1" applyBorder="1" applyAlignment="1">
      <alignment horizontal="center" vertical="center" wrapText="1" readingOrder="1"/>
    </xf>
    <xf numFmtId="0" fontId="26" fillId="3" borderId="2" xfId="0" applyFont="1" applyFill="1" applyBorder="1" applyAlignment="1">
      <alignment horizontal="left" vertical="center" wrapText="1" readingOrder="1"/>
    </xf>
    <xf numFmtId="0" fontId="26" fillId="3" borderId="2" xfId="0" applyFont="1" applyFill="1" applyBorder="1" applyAlignment="1">
      <alignment horizontal="center" vertical="center" wrapText="1" readingOrder="1"/>
    </xf>
    <xf numFmtId="0" fontId="25" fillId="4" borderId="3" xfId="0" applyFont="1" applyFill="1" applyBorder="1" applyAlignment="1">
      <alignment horizontal="center" vertical="center" wrapText="1" readingOrder="1"/>
    </xf>
    <xf numFmtId="0" fontId="26" fillId="4" borderId="3" xfId="0" applyFont="1" applyFill="1" applyBorder="1" applyAlignment="1">
      <alignment horizontal="left" vertical="center" wrapText="1" readingOrder="1"/>
    </xf>
    <xf numFmtId="0" fontId="26" fillId="4" borderId="3" xfId="0" applyFont="1" applyFill="1" applyBorder="1" applyAlignment="1">
      <alignment horizontal="center" vertical="center" wrapText="1" readingOrder="1"/>
    </xf>
    <xf numFmtId="0" fontId="25" fillId="3" borderId="3" xfId="0" applyFont="1" applyFill="1" applyBorder="1" applyAlignment="1">
      <alignment horizontal="center" vertical="center" wrapText="1" readingOrder="1"/>
    </xf>
    <xf numFmtId="0" fontId="26" fillId="3" borderId="3" xfId="0" applyFont="1" applyFill="1" applyBorder="1" applyAlignment="1">
      <alignment horizontal="left" vertical="center" wrapText="1" readingOrder="1"/>
    </xf>
    <xf numFmtId="0" fontId="26" fillId="3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vertical="top" wrapText="1"/>
    </xf>
    <xf numFmtId="0" fontId="27" fillId="4" borderId="3" xfId="0" applyFont="1" applyFill="1" applyBorder="1" applyAlignment="1">
      <alignment horizontal="center" vertical="center" wrapText="1" readingOrder="1"/>
    </xf>
    <xf numFmtId="0" fontId="28" fillId="2" borderId="4" xfId="0" applyFont="1" applyFill="1" applyBorder="1" applyAlignment="1">
      <alignment horizontal="center" vertical="center" wrapText="1" readingOrder="1"/>
    </xf>
    <xf numFmtId="0" fontId="29" fillId="4" borderId="4" xfId="0" applyFont="1" applyFill="1" applyBorder="1" applyAlignment="1">
      <alignment horizontal="center" vertical="center" wrapText="1" readingOrder="1"/>
    </xf>
    <xf numFmtId="0" fontId="29" fillId="4" borderId="4" xfId="0" applyFont="1" applyFill="1" applyBorder="1" applyAlignment="1">
      <alignment horizontal="left" vertical="center" wrapText="1" indent="1" readingOrder="1"/>
    </xf>
    <xf numFmtId="0" fontId="29" fillId="4" borderId="4" xfId="0" applyFont="1" applyFill="1" applyBorder="1" applyAlignment="1">
      <alignment horizontal="center" vertical="top" wrapText="1" readingOrder="1"/>
    </xf>
    <xf numFmtId="0" fontId="29" fillId="3" borderId="4" xfId="0" applyFont="1" applyFill="1" applyBorder="1" applyAlignment="1">
      <alignment horizontal="center" vertical="center" wrapText="1" readingOrder="1"/>
    </xf>
    <xf numFmtId="0" fontId="29" fillId="3" borderId="4" xfId="0" applyFont="1" applyFill="1" applyBorder="1" applyAlignment="1">
      <alignment horizontal="left" vertical="center" wrapText="1" indent="1" readingOrder="1"/>
    </xf>
    <xf numFmtId="0" fontId="29" fillId="3" borderId="4" xfId="0" applyFont="1" applyFill="1" applyBorder="1" applyAlignment="1">
      <alignment horizontal="center" vertical="top" wrapText="1" readingOrder="1"/>
    </xf>
    <xf numFmtId="0" fontId="30" fillId="7" borderId="4" xfId="0" applyFont="1" applyFill="1" applyBorder="1" applyAlignment="1">
      <alignment horizontal="center" vertical="center" wrapText="1"/>
    </xf>
    <xf numFmtId="0" fontId="31" fillId="7" borderId="4" xfId="0" applyFont="1" applyFill="1" applyBorder="1" applyAlignment="1">
      <alignment horizontal="right" vertical="center" wrapText="1" indent="1" readingOrder="1"/>
    </xf>
    <xf numFmtId="0" fontId="31" fillId="7" borderId="4" xfId="0" applyFont="1" applyFill="1" applyBorder="1" applyAlignment="1">
      <alignment horizontal="center" vertical="top" wrapText="1" readingOrder="1"/>
    </xf>
    <xf numFmtId="0" fontId="1" fillId="0" borderId="0" xfId="0" applyFont="1"/>
    <xf numFmtId="0" fontId="34" fillId="0" borderId="0" xfId="0" applyFont="1"/>
    <xf numFmtId="0" fontId="29" fillId="3" borderId="5" xfId="0" applyFont="1" applyFill="1" applyBorder="1" applyAlignment="1">
      <alignment vertical="center" wrapText="1" readingOrder="1"/>
    </xf>
    <xf numFmtId="0" fontId="29" fillId="3" borderId="5" xfId="0" applyFont="1" applyFill="1" applyBorder="1" applyAlignment="1">
      <alignment vertical="top" wrapText="1" readingOrder="1"/>
    </xf>
    <xf numFmtId="0" fontId="9" fillId="0" borderId="0" xfId="0" applyFont="1" applyAlignment="1">
      <alignment horizontal="left" vertical="center" readingOrder="1"/>
    </xf>
    <xf numFmtId="0" fontId="28" fillId="2" borderId="6" xfId="0" applyFont="1" applyFill="1" applyBorder="1" applyAlignment="1">
      <alignment horizontal="center" vertical="center" wrapText="1" readingOrder="1"/>
    </xf>
    <xf numFmtId="0" fontId="32" fillId="0" borderId="6" xfId="0" applyFont="1" applyBorder="1" applyAlignment="1">
      <alignment horizontal="center" vertical="center" wrapText="1" readingOrder="1"/>
    </xf>
    <xf numFmtId="0" fontId="33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/>
    </xf>
    <xf numFmtId="0" fontId="36" fillId="8" borderId="7" xfId="0" applyFont="1" applyFill="1" applyBorder="1" applyAlignment="1">
      <alignment horizontal="center" vertical="center" wrapText="1" readingOrder="1"/>
    </xf>
    <xf numFmtId="0" fontId="37" fillId="0" borderId="7" xfId="0" applyFont="1" applyBorder="1" applyAlignment="1">
      <alignment horizontal="center" vertical="center" wrapText="1" readingOrder="1"/>
    </xf>
    <xf numFmtId="0" fontId="37" fillId="0" borderId="7" xfId="0" applyFont="1" applyBorder="1" applyAlignment="1">
      <alignment horizontal="left" vertical="center" wrapText="1" readingOrder="1"/>
    </xf>
    <xf numFmtId="0" fontId="38" fillId="0" borderId="7" xfId="0" applyFont="1" applyBorder="1" applyAlignment="1">
      <alignment horizontal="center" vertical="center" wrapText="1" readingOrder="1"/>
    </xf>
    <xf numFmtId="0" fontId="37" fillId="9" borderId="7" xfId="0" applyFont="1" applyFill="1" applyBorder="1" applyAlignment="1">
      <alignment horizontal="center" vertical="center" wrapText="1" readingOrder="1"/>
    </xf>
    <xf numFmtId="0" fontId="37" fillId="9" borderId="7" xfId="0" applyFont="1" applyFill="1" applyBorder="1" applyAlignment="1">
      <alignment horizontal="left" vertical="center" wrapText="1" readingOrder="1"/>
    </xf>
    <xf numFmtId="0" fontId="38" fillId="9" borderId="7" xfId="0" applyFont="1" applyFill="1" applyBorder="1" applyAlignment="1">
      <alignment horizontal="center" vertical="center" wrapText="1" readingOrder="1"/>
    </xf>
    <xf numFmtId="0" fontId="39" fillId="3" borderId="2" xfId="0" applyFont="1" applyFill="1" applyBorder="1" applyAlignment="1">
      <alignment horizontal="center" vertical="center" wrapText="1" readingOrder="1"/>
    </xf>
    <xf numFmtId="0" fontId="40" fillId="3" borderId="2" xfId="0" applyFont="1" applyFill="1" applyBorder="1" applyAlignment="1">
      <alignment horizontal="center" vertical="center" wrapText="1" readingOrder="1"/>
    </xf>
    <xf numFmtId="0" fontId="39" fillId="4" borderId="3" xfId="0" applyFont="1" applyFill="1" applyBorder="1" applyAlignment="1">
      <alignment horizontal="center" vertical="center" wrapText="1" readingOrder="1"/>
    </xf>
    <xf numFmtId="0" fontId="40" fillId="4" borderId="3" xfId="0" applyFont="1" applyFill="1" applyBorder="1" applyAlignment="1">
      <alignment horizontal="center" vertical="center" wrapText="1" readingOrder="1"/>
    </xf>
    <xf numFmtId="0" fontId="39" fillId="3" borderId="3" xfId="0" applyFont="1" applyFill="1" applyBorder="1" applyAlignment="1">
      <alignment horizontal="center" vertical="center" wrapText="1" readingOrder="1"/>
    </xf>
    <xf numFmtId="0" fontId="40" fillId="3" borderId="3" xfId="0" applyFont="1" applyFill="1" applyBorder="1" applyAlignment="1">
      <alignment horizontal="center" vertical="center" wrapText="1" readingOrder="1"/>
    </xf>
    <xf numFmtId="0" fontId="39" fillId="0" borderId="3" xfId="0" applyFont="1" applyBorder="1" applyAlignment="1">
      <alignment horizontal="left" vertical="center" wrapText="1" indent="1" readingOrder="1"/>
    </xf>
    <xf numFmtId="0" fontId="5" fillId="0" borderId="3" xfId="0" applyFont="1" applyBorder="1" applyAlignment="1">
      <alignment horizontal="center" vertical="center" wrapText="1" readingOrder="1"/>
    </xf>
    <xf numFmtId="0" fontId="4" fillId="10" borderId="1" xfId="0" applyFont="1" applyFill="1" applyBorder="1" applyAlignment="1">
      <alignment horizontal="center" vertical="center" wrapText="1" readingOrder="1"/>
    </xf>
    <xf numFmtId="0" fontId="39" fillId="11" borderId="2" xfId="0" applyFont="1" applyFill="1" applyBorder="1" applyAlignment="1">
      <alignment horizontal="center" vertical="center" wrapText="1" readingOrder="1"/>
    </xf>
    <xf numFmtId="0" fontId="39" fillId="11" borderId="2" xfId="0" applyFont="1" applyFill="1" applyBorder="1" applyAlignment="1">
      <alignment horizontal="left" vertical="center" wrapText="1" indent="1" readingOrder="1"/>
    </xf>
    <xf numFmtId="0" fontId="5" fillId="11" borderId="2" xfId="0" applyFont="1" applyFill="1" applyBorder="1" applyAlignment="1">
      <alignment horizontal="center" vertical="center" wrapText="1" readingOrder="1"/>
    </xf>
    <xf numFmtId="0" fontId="39" fillId="0" borderId="3" xfId="0" applyFont="1" applyBorder="1" applyAlignment="1">
      <alignment horizontal="center" vertical="center" wrapText="1" readingOrder="1"/>
    </xf>
    <xf numFmtId="0" fontId="39" fillId="11" borderId="3" xfId="0" applyFont="1" applyFill="1" applyBorder="1" applyAlignment="1">
      <alignment horizontal="center" vertical="center" wrapText="1" readingOrder="1"/>
    </xf>
    <xf numFmtId="0" fontId="39" fillId="11" borderId="3" xfId="0" applyFont="1" applyFill="1" applyBorder="1" applyAlignment="1">
      <alignment horizontal="left" vertical="center" wrapText="1" indent="1" readingOrder="1"/>
    </xf>
    <xf numFmtId="0" fontId="5" fillId="11" borderId="3" xfId="0" applyFont="1" applyFill="1" applyBorder="1" applyAlignment="1">
      <alignment horizontal="center" vertical="center" wrapText="1" readingOrder="1"/>
    </xf>
    <xf numFmtId="0" fontId="42" fillId="0" borderId="0" xfId="0" applyFont="1" applyAlignment="1">
      <alignment horizontal="left" vertical="center" readingOrder="1"/>
    </xf>
    <xf numFmtId="0" fontId="44" fillId="11" borderId="2" xfId="0" applyFont="1" applyFill="1" applyBorder="1" applyAlignment="1">
      <alignment horizontal="center" vertical="center" wrapText="1" readingOrder="1"/>
    </xf>
    <xf numFmtId="0" fontId="44" fillId="0" borderId="3" xfId="0" applyFont="1" applyBorder="1" applyAlignment="1">
      <alignment horizontal="center" vertical="center" wrapText="1" readingOrder="1"/>
    </xf>
    <xf numFmtId="0" fontId="44" fillId="11" borderId="3" xfId="0" applyFont="1" applyFill="1" applyBorder="1" applyAlignment="1">
      <alignment horizontal="center" vertical="center" wrapText="1" readingOrder="1"/>
    </xf>
    <xf numFmtId="0" fontId="41" fillId="12" borderId="8" xfId="0" applyFont="1" applyFill="1" applyBorder="1" applyAlignment="1">
      <alignment horizontal="left" vertical="center" wrapText="1" indent="1" readingOrder="1"/>
    </xf>
    <xf numFmtId="0" fontId="41" fillId="12" borderId="9" xfId="0" applyFont="1" applyFill="1" applyBorder="1" applyAlignment="1">
      <alignment horizontal="center" vertical="center" wrapText="1" readingOrder="1"/>
    </xf>
    <xf numFmtId="0" fontId="41" fillId="12" borderId="10" xfId="0" applyFont="1" applyFill="1" applyBorder="1" applyAlignment="1">
      <alignment horizontal="center" vertical="center" wrapText="1" readingOrder="1"/>
    </xf>
    <xf numFmtId="0" fontId="45" fillId="13" borderId="8" xfId="0" applyFont="1" applyFill="1" applyBorder="1" applyAlignment="1">
      <alignment horizontal="center" vertical="center" wrapText="1" readingOrder="1"/>
    </xf>
    <xf numFmtId="0" fontId="45" fillId="13" borderId="9" xfId="0" applyFont="1" applyFill="1" applyBorder="1" applyAlignment="1">
      <alignment horizontal="left" vertical="center" wrapText="1" readingOrder="1"/>
    </xf>
    <xf numFmtId="0" fontId="45" fillId="13" borderId="9" xfId="0" applyFont="1" applyFill="1" applyBorder="1" applyAlignment="1">
      <alignment horizontal="right" vertical="center" wrapText="1" indent="1" readingOrder="1"/>
    </xf>
    <xf numFmtId="3" fontId="45" fillId="13" borderId="10" xfId="0" applyNumberFormat="1" applyFont="1" applyFill="1" applyBorder="1" applyAlignment="1">
      <alignment horizontal="right" vertical="center" wrapText="1" indent="1" readingOrder="1"/>
    </xf>
    <xf numFmtId="0" fontId="45" fillId="5" borderId="8" xfId="0" applyFont="1" applyFill="1" applyBorder="1" applyAlignment="1">
      <alignment horizontal="center" vertical="center" wrapText="1" readingOrder="1"/>
    </xf>
    <xf numFmtId="0" fontId="45" fillId="5" borderId="9" xfId="0" applyFont="1" applyFill="1" applyBorder="1" applyAlignment="1">
      <alignment horizontal="left" vertical="center" wrapText="1" readingOrder="1"/>
    </xf>
    <xf numFmtId="0" fontId="45" fillId="5" borderId="9" xfId="0" applyFont="1" applyFill="1" applyBorder="1" applyAlignment="1">
      <alignment horizontal="right" vertical="center" wrapText="1" indent="1" readingOrder="1"/>
    </xf>
    <xf numFmtId="0" fontId="45" fillId="5" borderId="10" xfId="0" applyFont="1" applyFill="1" applyBorder="1" applyAlignment="1">
      <alignment horizontal="right" vertical="center" wrapText="1" indent="1" readingOrder="1"/>
    </xf>
    <xf numFmtId="0" fontId="4" fillId="14" borderId="11" xfId="0" applyFont="1" applyFill="1" applyBorder="1" applyAlignment="1">
      <alignment horizontal="center" vertical="center" wrapText="1" readingOrder="1"/>
    </xf>
    <xf numFmtId="0" fontId="4" fillId="14" borderId="12" xfId="0" applyFont="1" applyFill="1" applyBorder="1" applyAlignment="1">
      <alignment horizontal="center" vertical="center" wrapText="1" readingOrder="1"/>
    </xf>
    <xf numFmtId="0" fontId="4" fillId="14" borderId="13" xfId="0" applyFont="1" applyFill="1" applyBorder="1" applyAlignment="1">
      <alignment horizontal="center" vertical="center" wrapText="1" readingOrder="1"/>
    </xf>
    <xf numFmtId="0" fontId="46" fillId="15" borderId="11" xfId="0" applyFont="1" applyFill="1" applyBorder="1" applyAlignment="1">
      <alignment horizontal="center" vertical="center" wrapText="1" readingOrder="1"/>
    </xf>
    <xf numFmtId="0" fontId="46" fillId="15" borderId="12" xfId="0" applyFont="1" applyFill="1" applyBorder="1" applyAlignment="1">
      <alignment horizontal="left" vertical="center" wrapText="1" readingOrder="1"/>
    </xf>
    <xf numFmtId="0" fontId="46" fillId="15" borderId="12" xfId="0" applyFont="1" applyFill="1" applyBorder="1" applyAlignment="1">
      <alignment horizontal="right" vertical="center" wrapText="1" readingOrder="1"/>
    </xf>
    <xf numFmtId="0" fontId="46" fillId="15" borderId="13" xfId="0" applyFont="1" applyFill="1" applyBorder="1" applyAlignment="1">
      <alignment horizontal="right" vertical="center" wrapText="1" readingOrder="1"/>
    </xf>
    <xf numFmtId="0" fontId="46" fillId="5" borderId="11" xfId="0" applyFont="1" applyFill="1" applyBorder="1" applyAlignment="1">
      <alignment horizontal="center" vertical="center" wrapText="1" readingOrder="1"/>
    </xf>
    <xf numFmtId="0" fontId="46" fillId="5" borderId="12" xfId="0" applyFont="1" applyFill="1" applyBorder="1" applyAlignment="1">
      <alignment horizontal="left" vertical="center" wrapText="1" readingOrder="1"/>
    </xf>
    <xf numFmtId="0" fontId="46" fillId="5" borderId="12" xfId="0" applyFont="1" applyFill="1" applyBorder="1" applyAlignment="1">
      <alignment horizontal="right" vertical="center" wrapText="1" readingOrder="1"/>
    </xf>
    <xf numFmtId="3" fontId="46" fillId="5" borderId="13" xfId="0" applyNumberFormat="1" applyFont="1" applyFill="1" applyBorder="1" applyAlignment="1">
      <alignment horizontal="right" vertical="center" wrapText="1" readingOrder="1"/>
    </xf>
    <xf numFmtId="0" fontId="46" fillId="5" borderId="13" xfId="0" applyFont="1" applyFill="1" applyBorder="1" applyAlignment="1">
      <alignment horizontal="right" vertical="center" wrapText="1" readingOrder="1"/>
    </xf>
    <xf numFmtId="0" fontId="3" fillId="15" borderId="11" xfId="0" applyFont="1" applyFill="1" applyBorder="1" applyAlignment="1">
      <alignment vertical="top" wrapText="1"/>
    </xf>
    <xf numFmtId="3" fontId="46" fillId="15" borderId="13" xfId="0" applyNumberFormat="1" applyFont="1" applyFill="1" applyBorder="1" applyAlignment="1">
      <alignment horizontal="right" vertical="center" wrapText="1" readingOrder="1"/>
    </xf>
    <xf numFmtId="0" fontId="47" fillId="14" borderId="11" xfId="0" applyFont="1" applyFill="1" applyBorder="1" applyAlignment="1">
      <alignment horizontal="left" vertical="center" wrapText="1" readingOrder="1"/>
    </xf>
    <xf numFmtId="0" fontId="47" fillId="14" borderId="12" xfId="0" applyFont="1" applyFill="1" applyBorder="1" applyAlignment="1">
      <alignment horizontal="center" vertical="center" wrapText="1" readingOrder="1"/>
    </xf>
    <xf numFmtId="0" fontId="47" fillId="14" borderId="13" xfId="0" applyFont="1" applyFill="1" applyBorder="1" applyAlignment="1">
      <alignment horizontal="center" vertical="center" wrapText="1" readingOrder="1"/>
    </xf>
    <xf numFmtId="0" fontId="48" fillId="15" borderId="11" xfId="0" applyFont="1" applyFill="1" applyBorder="1" applyAlignment="1">
      <alignment horizontal="center" vertical="center" wrapText="1" readingOrder="1"/>
    </xf>
    <xf numFmtId="0" fontId="48" fillId="15" borderId="12" xfId="0" applyFont="1" applyFill="1" applyBorder="1" applyAlignment="1">
      <alignment horizontal="left" vertical="center" wrapText="1" readingOrder="1"/>
    </xf>
    <xf numFmtId="0" fontId="48" fillId="15" borderId="12" xfId="0" applyFont="1" applyFill="1" applyBorder="1" applyAlignment="1">
      <alignment horizontal="right" vertical="center" wrapText="1" indent="1" readingOrder="1"/>
    </xf>
    <xf numFmtId="3" fontId="48" fillId="15" borderId="13" xfId="0" applyNumberFormat="1" applyFont="1" applyFill="1" applyBorder="1" applyAlignment="1">
      <alignment horizontal="right" vertical="center" wrapText="1" indent="1" readingOrder="1"/>
    </xf>
    <xf numFmtId="0" fontId="48" fillId="5" borderId="11" xfId="0" applyFont="1" applyFill="1" applyBorder="1" applyAlignment="1">
      <alignment horizontal="center" vertical="center" wrapText="1" readingOrder="1"/>
    </xf>
    <xf numFmtId="0" fontId="48" fillId="5" borderId="12" xfId="0" applyFont="1" applyFill="1" applyBorder="1" applyAlignment="1">
      <alignment horizontal="left" vertical="center" wrapText="1" readingOrder="1"/>
    </xf>
    <xf numFmtId="0" fontId="48" fillId="5" borderId="12" xfId="0" applyFont="1" applyFill="1" applyBorder="1" applyAlignment="1">
      <alignment horizontal="right" vertical="center" wrapText="1" indent="1" readingOrder="1"/>
    </xf>
    <xf numFmtId="3" fontId="48" fillId="5" borderId="13" xfId="0" applyNumberFormat="1" applyFont="1" applyFill="1" applyBorder="1" applyAlignment="1">
      <alignment horizontal="right" vertical="center" wrapText="1" indent="1" readingOrder="1"/>
    </xf>
    <xf numFmtId="0" fontId="12" fillId="16" borderId="2" xfId="0" applyFont="1" applyFill="1" applyBorder="1" applyAlignment="1">
      <alignment horizontal="center" vertical="center" wrapText="1" readingOrder="1"/>
    </xf>
    <xf numFmtId="0" fontId="12" fillId="16" borderId="2" xfId="0" applyFont="1" applyFill="1" applyBorder="1" applyAlignment="1">
      <alignment horizontal="left" vertical="center" wrapText="1" readingOrder="1"/>
    </xf>
    <xf numFmtId="0" fontId="12" fillId="16" borderId="2" xfId="0" applyFont="1" applyFill="1" applyBorder="1" applyAlignment="1">
      <alignment horizontal="right" vertical="center" wrapText="1" readingOrder="1"/>
    </xf>
    <xf numFmtId="0" fontId="12" fillId="17" borderId="3" xfId="0" applyFont="1" applyFill="1" applyBorder="1" applyAlignment="1">
      <alignment horizontal="center" vertical="center" wrapText="1" readingOrder="1"/>
    </xf>
    <xf numFmtId="0" fontId="12" fillId="17" borderId="3" xfId="0" applyFont="1" applyFill="1" applyBorder="1" applyAlignment="1">
      <alignment horizontal="left" vertical="center" wrapText="1" readingOrder="1"/>
    </xf>
    <xf numFmtId="0" fontId="12" fillId="17" borderId="3" xfId="0" applyFont="1" applyFill="1" applyBorder="1" applyAlignment="1">
      <alignment horizontal="right" vertical="center" wrapText="1" readingOrder="1"/>
    </xf>
    <xf numFmtId="0" fontId="41" fillId="18" borderId="17" xfId="0" applyFont="1" applyFill="1" applyBorder="1" applyAlignment="1">
      <alignment horizontal="center" vertical="center" wrapText="1" readingOrder="1"/>
    </xf>
    <xf numFmtId="0" fontId="41" fillId="18" borderId="20" xfId="0" applyFont="1" applyFill="1" applyBorder="1" applyAlignment="1">
      <alignment horizontal="center" vertical="center" wrapText="1" readingOrder="1"/>
    </xf>
    <xf numFmtId="0" fontId="49" fillId="19" borderId="14" xfId="0" applyFont="1" applyFill="1" applyBorder="1" applyAlignment="1">
      <alignment horizontal="center" vertical="center" wrapText="1" readingOrder="1"/>
    </xf>
    <xf numFmtId="0" fontId="49" fillId="19" borderId="17" xfId="0" applyFont="1" applyFill="1" applyBorder="1" applyAlignment="1">
      <alignment horizontal="left" vertical="center" wrapText="1" readingOrder="1"/>
    </xf>
    <xf numFmtId="0" fontId="49" fillId="19" borderId="17" xfId="0" applyFont="1" applyFill="1" applyBorder="1" applyAlignment="1">
      <alignment horizontal="center" vertical="center" wrapText="1" readingOrder="1"/>
    </xf>
    <xf numFmtId="0" fontId="49" fillId="19" borderId="20" xfId="0" applyFont="1" applyFill="1" applyBorder="1" applyAlignment="1">
      <alignment horizontal="center" vertical="center" wrapText="1" readingOrder="1"/>
    </xf>
    <xf numFmtId="0" fontId="49" fillId="17" borderId="14" xfId="0" applyFont="1" applyFill="1" applyBorder="1" applyAlignment="1">
      <alignment horizontal="center" vertical="center" wrapText="1" readingOrder="1"/>
    </xf>
    <xf numFmtId="0" fontId="49" fillId="17" borderId="17" xfId="0" applyFont="1" applyFill="1" applyBorder="1" applyAlignment="1">
      <alignment horizontal="left" vertical="center" wrapText="1" readingOrder="1"/>
    </xf>
    <xf numFmtId="0" fontId="49" fillId="17" borderId="17" xfId="0" applyFont="1" applyFill="1" applyBorder="1" applyAlignment="1">
      <alignment horizontal="center" vertical="center" wrapText="1" readingOrder="1"/>
    </xf>
    <xf numFmtId="0" fontId="49" fillId="17" borderId="20" xfId="0" applyFont="1" applyFill="1" applyBorder="1" applyAlignment="1">
      <alignment horizontal="center" vertical="center" wrapText="1" readingOrder="1"/>
    </xf>
    <xf numFmtId="0" fontId="49" fillId="19" borderId="17" xfId="0" applyFont="1" applyFill="1" applyBorder="1" applyAlignment="1">
      <alignment horizontal="center" wrapText="1" readingOrder="1"/>
    </xf>
    <xf numFmtId="0" fontId="49" fillId="19" borderId="20" xfId="0" applyFont="1" applyFill="1" applyBorder="1" applyAlignment="1">
      <alignment horizontal="center" wrapText="1" readingOrder="1"/>
    </xf>
    <xf numFmtId="0" fontId="49" fillId="17" borderId="14" xfId="0" applyFont="1" applyFill="1" applyBorder="1" applyAlignment="1">
      <alignment horizontal="left" vertical="top" wrapText="1" readingOrder="1"/>
    </xf>
    <xf numFmtId="0" fontId="50" fillId="17" borderId="17" xfId="0" applyFont="1" applyFill="1" applyBorder="1" applyAlignment="1">
      <alignment horizontal="left" vertical="center" wrapText="1" readingOrder="1"/>
    </xf>
    <xf numFmtId="0" fontId="50" fillId="17" borderId="17" xfId="0" applyFont="1" applyFill="1" applyBorder="1" applyAlignment="1">
      <alignment horizontal="center" vertical="center" wrapText="1" readingOrder="1"/>
    </xf>
    <xf numFmtId="0" fontId="50" fillId="17" borderId="20" xfId="0" applyFont="1" applyFill="1" applyBorder="1" applyAlignment="1">
      <alignment horizontal="center" vertical="center" wrapText="1" readingOrder="1"/>
    </xf>
    <xf numFmtId="0" fontId="8" fillId="2" borderId="21" xfId="0" applyFont="1" applyFill="1" applyBorder="1" applyAlignment="1">
      <alignment horizontal="center" vertical="center" wrapText="1" readingOrder="1"/>
    </xf>
    <xf numFmtId="0" fontId="39" fillId="3" borderId="21" xfId="0" applyFont="1" applyFill="1" applyBorder="1" applyAlignment="1">
      <alignment horizontal="center" vertical="center" wrapText="1" readingOrder="1"/>
    </xf>
    <xf numFmtId="0" fontId="52" fillId="22" borderId="22" xfId="0" applyFont="1" applyFill="1" applyBorder="1" applyAlignment="1">
      <alignment horizontal="center" vertical="top" wrapText="1" readingOrder="1"/>
    </xf>
    <xf numFmtId="0" fontId="52" fillId="22" borderId="22" xfId="0" applyFont="1" applyFill="1" applyBorder="1" applyAlignment="1">
      <alignment horizontal="left" vertical="top" wrapText="1" readingOrder="1"/>
    </xf>
    <xf numFmtId="0" fontId="52" fillId="22" borderId="22" xfId="0" applyFont="1" applyFill="1" applyBorder="1" applyAlignment="1">
      <alignment horizontal="center" vertical="center" wrapText="1" readingOrder="1"/>
    </xf>
    <xf numFmtId="0" fontId="52" fillId="21" borderId="22" xfId="0" applyFont="1" applyFill="1" applyBorder="1" applyAlignment="1">
      <alignment horizontal="left" vertical="top" wrapText="1" readingOrder="1"/>
    </xf>
    <xf numFmtId="0" fontId="52" fillId="21" borderId="22" xfId="0" applyFont="1" applyFill="1" applyBorder="1" applyAlignment="1">
      <alignment horizontal="center" vertical="center" wrapText="1" readingOrder="1"/>
    </xf>
    <xf numFmtId="0" fontId="52" fillId="21" borderId="22" xfId="0" applyFont="1" applyFill="1" applyBorder="1" applyAlignment="1">
      <alignment horizontal="center" vertical="top" wrapText="1" readingOrder="1"/>
    </xf>
    <xf numFmtId="0" fontId="52" fillId="21" borderId="22" xfId="0" applyFont="1" applyFill="1" applyBorder="1" applyAlignment="1">
      <alignment horizontal="left" vertical="center" wrapText="1" readingOrder="1"/>
    </xf>
    <xf numFmtId="0" fontId="53" fillId="21" borderId="22" xfId="0" applyFont="1" applyFill="1" applyBorder="1" applyAlignment="1">
      <alignment horizontal="center" vertical="top" wrapText="1" readingOrder="1"/>
    </xf>
    <xf numFmtId="0" fontId="54" fillId="22" borderId="22" xfId="0" applyFont="1" applyFill="1" applyBorder="1" applyAlignment="1">
      <alignment horizontal="center" vertical="center" wrapText="1"/>
    </xf>
    <xf numFmtId="0" fontId="52" fillId="22" borderId="22" xfId="0" applyFont="1" applyFill="1" applyBorder="1" applyAlignment="1">
      <alignment horizontal="left" vertical="center" wrapText="1" readingOrder="1"/>
    </xf>
    <xf numFmtId="0" fontId="55" fillId="20" borderId="3" xfId="0" applyFont="1" applyFill="1" applyBorder="1" applyAlignment="1">
      <alignment horizontal="center" vertical="center" wrapText="1" readingOrder="1"/>
    </xf>
    <xf numFmtId="0" fontId="55" fillId="20" borderId="3" xfId="0" applyFont="1" applyFill="1" applyBorder="1" applyAlignment="1">
      <alignment horizontal="left" vertical="center" wrapText="1" indent="1" readingOrder="1"/>
    </xf>
    <xf numFmtId="0" fontId="56" fillId="21" borderId="25" xfId="0" applyFont="1" applyFill="1" applyBorder="1" applyAlignment="1">
      <alignment horizontal="left" vertical="center" wrapText="1" indent="1" readingOrder="1"/>
    </xf>
    <xf numFmtId="0" fontId="56" fillId="21" borderId="25" xfId="0" applyFont="1" applyFill="1" applyBorder="1" applyAlignment="1">
      <alignment horizontal="center" vertical="top" wrapText="1" readingOrder="1"/>
    </xf>
    <xf numFmtId="0" fontId="57" fillId="21" borderId="25" xfId="0" applyFont="1" applyFill="1" applyBorder="1" applyAlignment="1">
      <alignment horizontal="center" vertical="top" wrapText="1" readingOrder="1"/>
    </xf>
    <xf numFmtId="0" fontId="56" fillId="22" borderId="4" xfId="0" applyFont="1" applyFill="1" applyBorder="1" applyAlignment="1">
      <alignment horizontal="left" vertical="center" wrapText="1" indent="1" readingOrder="1"/>
    </xf>
    <xf numFmtId="0" fontId="56" fillId="22" borderId="4" xfId="0" applyFont="1" applyFill="1" applyBorder="1" applyAlignment="1">
      <alignment horizontal="center" vertical="top" wrapText="1" readingOrder="1"/>
    </xf>
    <xf numFmtId="0" fontId="57" fillId="22" borderId="4" xfId="0" applyFont="1" applyFill="1" applyBorder="1" applyAlignment="1">
      <alignment horizontal="center" vertical="top" wrapText="1" readingOrder="1"/>
    </xf>
    <xf numFmtId="0" fontId="3" fillId="21" borderId="4" xfId="0" applyFont="1" applyFill="1" applyBorder="1" applyAlignment="1">
      <alignment horizontal="right" vertical="center" wrapText="1" indent="1"/>
    </xf>
    <xf numFmtId="0" fontId="57" fillId="21" borderId="4" xfId="0" applyFont="1" applyFill="1" applyBorder="1" applyAlignment="1">
      <alignment horizontal="left" vertical="center" wrapText="1" indent="1" readingOrder="1"/>
    </xf>
    <xf numFmtId="0" fontId="57" fillId="21" borderId="4" xfId="0" applyFont="1" applyFill="1" applyBorder="1" applyAlignment="1">
      <alignment horizontal="center" vertical="top" wrapText="1" readingOrder="1"/>
    </xf>
    <xf numFmtId="0" fontId="58" fillId="12" borderId="26" xfId="0" applyFont="1" applyFill="1" applyBorder="1" applyAlignment="1">
      <alignment horizontal="center" vertical="center" wrapText="1" readingOrder="1"/>
    </xf>
    <xf numFmtId="0" fontId="59" fillId="12" borderId="26" xfId="0" applyFont="1" applyFill="1" applyBorder="1" applyAlignment="1">
      <alignment horizontal="center" vertical="center" wrapText="1" readingOrder="1"/>
    </xf>
    <xf numFmtId="0" fontId="60" fillId="13" borderId="26" xfId="0" applyFont="1" applyFill="1" applyBorder="1" applyAlignment="1">
      <alignment horizontal="left" vertical="center" wrapText="1" indent="1" readingOrder="1"/>
    </xf>
    <xf numFmtId="0" fontId="61" fillId="13" borderId="26" xfId="0" applyFont="1" applyFill="1" applyBorder="1" applyAlignment="1">
      <alignment horizontal="left" vertical="center" wrapText="1" indent="1" readingOrder="1"/>
    </xf>
    <xf numFmtId="0" fontId="61" fillId="13" borderId="26" xfId="0" applyFont="1" applyFill="1" applyBorder="1" applyAlignment="1">
      <alignment horizontal="center" vertical="center" wrapText="1" readingOrder="1"/>
    </xf>
    <xf numFmtId="0" fontId="60" fillId="5" borderId="26" xfId="0" applyFont="1" applyFill="1" applyBorder="1" applyAlignment="1">
      <alignment horizontal="left" vertical="center" wrapText="1" indent="1" readingOrder="1"/>
    </xf>
    <xf numFmtId="0" fontId="61" fillId="5" borderId="26" xfId="0" applyFont="1" applyFill="1" applyBorder="1" applyAlignment="1">
      <alignment horizontal="left" vertical="center" wrapText="1" indent="1" readingOrder="1"/>
    </xf>
    <xf numFmtId="0" fontId="61" fillId="5" borderId="26" xfId="0" applyFont="1" applyFill="1" applyBorder="1" applyAlignment="1">
      <alignment horizontal="center" vertical="center" wrapText="1" readingOrder="1"/>
    </xf>
    <xf numFmtId="0" fontId="3" fillId="13" borderId="26" xfId="0" applyFont="1" applyFill="1" applyBorder="1" applyAlignment="1">
      <alignment horizontal="right" vertical="center" wrapText="1" indent="1"/>
    </xf>
    <xf numFmtId="0" fontId="60" fillId="13" borderId="26" xfId="0" applyFont="1" applyFill="1" applyBorder="1" applyAlignment="1">
      <alignment horizontal="center" vertical="center" wrapText="1" readingOrder="1"/>
    </xf>
    <xf numFmtId="0" fontId="60" fillId="5" borderId="26" xfId="0" applyFont="1" applyFill="1" applyBorder="1" applyAlignment="1">
      <alignment horizontal="center" vertical="center" wrapText="1" readingOrder="1"/>
    </xf>
    <xf numFmtId="0" fontId="62" fillId="8" borderId="27" xfId="0" applyFont="1" applyFill="1" applyBorder="1" applyAlignment="1">
      <alignment horizontal="center" vertical="center" wrapText="1" readingOrder="1"/>
    </xf>
    <xf numFmtId="0" fontId="63" fillId="23" borderId="28" xfId="0" applyFont="1" applyFill="1" applyBorder="1" applyAlignment="1">
      <alignment horizontal="center" vertical="center" wrapText="1" readingOrder="1"/>
    </xf>
    <xf numFmtId="0" fontId="63" fillId="23" borderId="28" xfId="0" applyFont="1" applyFill="1" applyBorder="1" applyAlignment="1">
      <alignment horizontal="left" vertical="center" wrapText="1" indent="1" readingOrder="1"/>
    </xf>
    <xf numFmtId="0" fontId="63" fillId="23" borderId="29" xfId="0" applyFont="1" applyFill="1" applyBorder="1" applyAlignment="1">
      <alignment horizontal="center" vertical="center" wrapText="1" readingOrder="1"/>
    </xf>
    <xf numFmtId="0" fontId="63" fillId="15" borderId="30" xfId="0" applyFont="1" applyFill="1" applyBorder="1" applyAlignment="1">
      <alignment horizontal="center" vertical="center" wrapText="1" readingOrder="1"/>
    </xf>
    <xf numFmtId="0" fontId="63" fillId="15" borderId="30" xfId="0" applyFont="1" applyFill="1" applyBorder="1" applyAlignment="1">
      <alignment horizontal="left" vertical="center" wrapText="1" indent="1" readingOrder="1"/>
    </xf>
    <xf numFmtId="0" fontId="63" fillId="15" borderId="29" xfId="0" applyFont="1" applyFill="1" applyBorder="1" applyAlignment="1">
      <alignment horizontal="center" vertical="center" wrapText="1" readingOrder="1"/>
    </xf>
    <xf numFmtId="0" fontId="63" fillId="23" borderId="30" xfId="0" applyFont="1" applyFill="1" applyBorder="1" applyAlignment="1">
      <alignment horizontal="center" vertical="center" wrapText="1" readingOrder="1"/>
    </xf>
    <xf numFmtId="0" fontId="63" fillId="23" borderId="30" xfId="0" applyFont="1" applyFill="1" applyBorder="1" applyAlignment="1">
      <alignment horizontal="left" vertical="center" wrapText="1" indent="1" readingOrder="1"/>
    </xf>
    <xf numFmtId="0" fontId="64" fillId="23" borderId="30" xfId="0" applyFont="1" applyFill="1" applyBorder="1" applyAlignment="1">
      <alignment horizontal="center" vertical="center" wrapText="1"/>
    </xf>
    <xf numFmtId="0" fontId="41" fillId="18" borderId="15" xfId="0" applyFont="1" applyFill="1" applyBorder="1" applyAlignment="1">
      <alignment horizontal="center" vertical="center" wrapText="1" readingOrder="1"/>
    </xf>
    <xf numFmtId="0" fontId="41" fillId="18" borderId="16" xfId="0" applyFont="1" applyFill="1" applyBorder="1" applyAlignment="1">
      <alignment horizontal="center" vertical="center" wrapText="1" readingOrder="1"/>
    </xf>
    <xf numFmtId="0" fontId="41" fillId="18" borderId="18" xfId="0" applyFont="1" applyFill="1" applyBorder="1" applyAlignment="1">
      <alignment horizontal="center" vertical="center" wrapText="1" readingOrder="1"/>
    </xf>
    <xf numFmtId="0" fontId="41" fillId="18" borderId="19" xfId="0" applyFont="1" applyFill="1" applyBorder="1" applyAlignment="1">
      <alignment horizontal="center" vertical="center" wrapText="1" readingOrder="1"/>
    </xf>
    <xf numFmtId="0" fontId="51" fillId="20" borderId="23" xfId="0" applyFont="1" applyFill="1" applyBorder="1" applyAlignment="1">
      <alignment vertical="center" wrapText="1" readingOrder="1"/>
    </xf>
    <xf numFmtId="0" fontId="51" fillId="20" borderId="24" xfId="0" applyFont="1" applyFill="1" applyBorder="1" applyAlignment="1">
      <alignment vertical="center" wrapText="1" readingOrder="1"/>
    </xf>
    <xf numFmtId="0" fontId="51" fillId="20" borderId="23" xfId="0" applyFont="1" applyFill="1" applyBorder="1" applyAlignment="1">
      <alignment horizontal="center" vertical="center" wrapText="1" readingOrder="1"/>
    </xf>
    <xf numFmtId="0" fontId="51" fillId="20" borderId="24" xfId="0" applyFont="1" applyFill="1" applyBorder="1" applyAlignment="1">
      <alignment horizontal="center" vertical="center" wrapText="1" readingOrder="1"/>
    </xf>
    <xf numFmtId="0" fontId="65" fillId="8" borderId="31" xfId="0" applyFont="1" applyFill="1" applyBorder="1" applyAlignment="1">
      <alignment horizontal="center" vertical="center" wrapText="1" readingOrder="1"/>
    </xf>
    <xf numFmtId="0" fontId="66" fillId="8" borderId="32" xfId="0" applyFont="1" applyFill="1" applyBorder="1" applyAlignment="1">
      <alignment horizontal="center" vertical="center" wrapText="1" readingOrder="1"/>
    </xf>
    <xf numFmtId="0" fontId="65" fillId="8" borderId="31" xfId="0" applyFont="1" applyFill="1" applyBorder="1" applyAlignment="1">
      <alignment horizontal="center" wrapText="1" readingOrder="1"/>
    </xf>
    <xf numFmtId="0" fontId="66" fillId="8" borderId="32" xfId="0" applyFont="1" applyFill="1" applyBorder="1" applyAlignment="1">
      <alignment horizontal="center" wrapText="1" readingOrder="1"/>
    </xf>
    <xf numFmtId="0" fontId="67" fillId="15" borderId="30" xfId="0" applyFont="1" applyFill="1" applyBorder="1" applyAlignment="1">
      <alignment horizontal="center" vertical="center" wrapText="1" readingOrder="1"/>
    </xf>
    <xf numFmtId="0" fontId="67" fillId="23" borderId="30" xfId="0" applyFont="1" applyFill="1" applyBorder="1" applyAlignment="1">
      <alignment horizontal="center" vertical="center" wrapText="1" readingOrder="1"/>
    </xf>
    <xf numFmtId="0" fontId="68" fillId="23" borderId="30" xfId="0" applyFont="1" applyFill="1" applyBorder="1" applyAlignment="1">
      <alignment horizontal="left" vertical="center" wrapText="1" indent="1" readingOrder="1"/>
    </xf>
    <xf numFmtId="0" fontId="68" fillId="23" borderId="30" xfId="0" applyFont="1" applyFill="1" applyBorder="1" applyAlignment="1">
      <alignment horizontal="center" vertical="center" wrapText="1" readingOrder="1"/>
    </xf>
    <xf numFmtId="0" fontId="65" fillId="8" borderId="31" xfId="0" applyFont="1" applyFill="1" applyBorder="1" applyAlignment="1">
      <alignment horizontal="center" vertical="center" wrapText="1" readingOrder="1"/>
    </xf>
    <xf numFmtId="0" fontId="65" fillId="8" borderId="32" xfId="0" applyFont="1" applyFill="1" applyBorder="1" applyAlignment="1">
      <alignment horizontal="center" vertical="center" wrapText="1" readingOrder="1"/>
    </xf>
    <xf numFmtId="0" fontId="65" fillId="8" borderId="31" xfId="0" applyFont="1" applyFill="1" applyBorder="1" applyAlignment="1">
      <alignment horizontal="center" wrapText="1" readingOrder="1"/>
    </xf>
    <xf numFmtId="0" fontId="65" fillId="8" borderId="32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/>
  </tableStyles>
  <colors>
    <mruColors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Business Performance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'Business Performance'!$C$4</c:f>
              <c:strCache>
                <c:ptCount val="1"/>
                <c:pt idx="0">
                  <c:v>IDST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'Business Performance'!$B$5:$B$8</c:f>
              <c:strCache>
                <c:ptCount val="4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</c:strCache>
            </c:strRef>
          </c:cat>
          <c:val>
            <c:numRef>
              <c:f>'Business Performance'!$C$5:$C$8</c:f>
              <c:numCache>
                <c:formatCode>General</c:formatCode>
                <c:ptCount val="4"/>
                <c:pt idx="0">
                  <c:v>30.1</c:v>
                </c:pt>
                <c:pt idx="1">
                  <c:v>35</c:v>
                </c:pt>
                <c:pt idx="2">
                  <c:v>77</c:v>
                </c:pt>
                <c:pt idx="3">
                  <c:v>88.26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672-4309-94E1-04197185F477}"/>
            </c:ext>
          </c:extLst>
        </c:ser>
        <c:ser>
          <c:idx val="1"/>
          <c:order val="1"/>
          <c:tx>
            <c:strRef>
              <c:f>'Business Performance'!$D$4</c:f>
              <c:strCache>
                <c:ptCount val="1"/>
                <c:pt idx="0">
                  <c:v>IUST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'Business Performance'!$B$5:$B$8</c:f>
              <c:strCache>
                <c:ptCount val="4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</c:strCache>
            </c:strRef>
          </c:cat>
          <c:val>
            <c:numRef>
              <c:f>'Business Performance'!$D$5:$D$8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5</c:v>
                </c:pt>
                <c:pt idx="3">
                  <c:v>10.46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672-4309-94E1-04197185F477}"/>
            </c:ext>
          </c:extLst>
        </c:ser>
        <c:ser>
          <c:idx val="2"/>
          <c:order val="2"/>
          <c:tx>
            <c:strRef>
              <c:f>'Business Performance'!$E$4</c:f>
              <c:strCache>
                <c:ptCount val="1"/>
                <c:pt idx="0">
                  <c:v>Direct Sales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'Business Performance'!$B$5:$B$8</c:f>
              <c:strCache>
                <c:ptCount val="4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</c:strCache>
            </c:strRef>
          </c:cat>
          <c:val>
            <c:numRef>
              <c:f>'Business Performance'!$E$5:$E$8</c:f>
              <c:numCache>
                <c:formatCode>General</c:formatCode>
                <c:ptCount val="4"/>
                <c:pt idx="0">
                  <c:v>10.6</c:v>
                </c:pt>
                <c:pt idx="1">
                  <c:v>28</c:v>
                </c:pt>
                <c:pt idx="2">
                  <c:v>23</c:v>
                </c:pt>
                <c:pt idx="3">
                  <c:v>43.32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672-4309-94E1-04197185F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99758208"/>
        <c:axId val="199760128"/>
      </c:barChart>
      <c:lineChart>
        <c:grouping val="standard"/>
        <c:varyColors val="0"/>
        <c:ser>
          <c:idx val="3"/>
          <c:order val="3"/>
          <c:tx>
            <c:strRef>
              <c:f>'Business Performance'!$F$4</c:f>
              <c:strCache>
                <c:ptCount val="1"/>
                <c:pt idx="0">
                  <c:v>Total Value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72-4309-94E1-04197185F477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72-4309-94E1-04197185F477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72-4309-94E1-04197185F477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72-4309-94E1-04197185F4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'Business Performance'!$B$5:$B$8</c:f>
              <c:strCache>
                <c:ptCount val="4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</c:strCache>
            </c:strRef>
          </c:cat>
          <c:val>
            <c:numRef>
              <c:f>'Business Performance'!$F$5:$F$8</c:f>
              <c:numCache>
                <c:formatCode>General</c:formatCode>
                <c:ptCount val="4"/>
                <c:pt idx="0">
                  <c:v>44.7</c:v>
                </c:pt>
                <c:pt idx="1">
                  <c:v>71</c:v>
                </c:pt>
                <c:pt idx="2">
                  <c:v>105</c:v>
                </c:pt>
                <c:pt idx="3">
                  <c:v>142.04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C672-4309-94E1-04197185F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58208"/>
        <c:axId val="199760128"/>
      </c:lineChart>
      <c:catAx>
        <c:axId val="199758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>
                    <a:solidFill>
                      <a:schemeClr val="tx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60128"/>
        <c:crosses val="autoZero"/>
        <c:auto val="1"/>
        <c:lblAlgn val="ctr"/>
        <c:lblOffset val="100"/>
        <c:noMultiLvlLbl val="0"/>
      </c:catAx>
      <c:valAx>
        <c:axId val="1997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>
                    <a:solidFill>
                      <a:schemeClr val="tx1"/>
                    </a:solidFill>
                  </a:rPr>
                  <a:t>value in crores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5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>
          <a:lumMod val="95000"/>
          <a:lumOff val="5000"/>
        </a:schemeClr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>
                    <a:lumMod val="85000"/>
                    <a:lumOff val="15000"/>
                  </a:schemeClr>
                </a:solidFill>
              </a:rPr>
              <a:t>order</a:t>
            </a:r>
            <a:r>
              <a:rPr lang="en-IN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book</a:t>
            </a:r>
            <a:endParaRPr lang="en-IN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book'!$C$4</c:f>
              <c:strCache>
                <c:ptCount val="1"/>
                <c:pt idx="0">
                  <c:v>Order Book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'order book'!$B$5:$B$9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</c:v>
                </c:pt>
              </c:strCache>
            </c:strRef>
          </c:cat>
          <c:val>
            <c:numRef>
              <c:f>'order book'!$C$5:$C$9</c:f>
              <c:numCache>
                <c:formatCode>General</c:formatCode>
                <c:ptCount val="5"/>
                <c:pt idx="0">
                  <c:v>20</c:v>
                </c:pt>
                <c:pt idx="1">
                  <c:v>50</c:v>
                </c:pt>
                <c:pt idx="2">
                  <c:v>85</c:v>
                </c:pt>
                <c:pt idx="3">
                  <c:v>125</c:v>
                </c:pt>
                <c:pt idx="4">
                  <c:v>175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2CE-48D4-9930-50332AD604AE}"/>
            </c:ext>
          </c:extLst>
        </c:ser>
        <c:ser>
          <c:idx val="1"/>
          <c:order val="1"/>
          <c:tx>
            <c:strRef>
              <c:f>'order book'!$D$4</c:f>
              <c:strCache>
                <c:ptCount val="1"/>
                <c:pt idx="0">
                  <c:v>Executed Orders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'order book'!$B$5:$B$9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</c:v>
                </c:pt>
              </c:strCache>
            </c:strRef>
          </c:cat>
          <c:val>
            <c:numRef>
              <c:f>'order book'!$D$5:$D$9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  <c:pt idx="4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2CE-48D4-9930-50332AD604AE}"/>
            </c:ext>
          </c:extLst>
        </c:ser>
        <c:ser>
          <c:idx val="2"/>
          <c:order val="2"/>
          <c:tx>
            <c:strRef>
              <c:f>'order book'!$E$4</c:f>
              <c:strCache>
                <c:ptCount val="1"/>
                <c:pt idx="0">
                  <c:v>Orders Received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'order book'!$B$5:$B$9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</c:v>
                </c:pt>
              </c:strCache>
            </c:strRef>
          </c:cat>
          <c:val>
            <c:numRef>
              <c:f>'order book'!$E$5:$E$9</c:f>
              <c:numCache>
                <c:formatCode>General</c:formatCode>
                <c:ptCount val="5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10</c:v>
                </c:pt>
                <c:pt idx="4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2CE-48D4-9930-50332AD604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99851008"/>
        <c:axId val="199873664"/>
      </c:barChart>
      <c:catAx>
        <c:axId val="199851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cap="all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73664"/>
        <c:crosses val="autoZero"/>
        <c:auto val="1"/>
        <c:lblAlgn val="ctr"/>
        <c:lblOffset val="100"/>
        <c:noMultiLvlLbl val="0"/>
      </c:catAx>
      <c:valAx>
        <c:axId val="199873664"/>
        <c:scaling>
          <c:orientation val="minMax"/>
        </c:scaling>
        <c:delete val="0"/>
        <c:axPos val="l"/>
        <c:majorGridlines>
          <c:spPr>
            <a:ln>
              <a:solidFill>
                <a:schemeClr val="tx2">
                  <a:lumMod val="15000"/>
                  <a:lumOff val="85000"/>
                  <a:alpha val="98000"/>
                </a:schemeClr>
              </a:solidFill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value</a:t>
                </a:r>
                <a:r>
                  <a:rPr lang="en-IN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 in crore</a:t>
                </a:r>
                <a:endParaRPr lang="en-IN">
                  <a:solidFill>
                    <a:schemeClr val="tx1">
                      <a:lumMod val="85000"/>
                      <a:lumOff val="1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5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>
          <a:lumMod val="85000"/>
          <a:lumOff val="15000"/>
        </a:schemeClr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'opportunities pursued'!$C$3</c:f>
              <c:strCache>
                <c:ptCount val="1"/>
                <c:pt idx="0">
                  <c:v>EOI/RFI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'opportunities pursued'!$B$4:$B$8</c:f>
              <c:strCache>
                <c:ptCount val="5"/>
                <c:pt idx="0">
                  <c:v>2022-23</c:v>
                </c:pt>
                <c:pt idx="1">
                  <c:v>2023-24 (Export)</c:v>
                </c:pt>
                <c:pt idx="2">
                  <c:v>2023-24 (domestic)</c:v>
                </c:pt>
                <c:pt idx="3">
                  <c:v>2024-25(domestic)</c:v>
                </c:pt>
                <c:pt idx="4">
                  <c:v>2024-25(export)</c:v>
                </c:pt>
              </c:strCache>
            </c:strRef>
          </c:cat>
          <c:val>
            <c:numRef>
              <c:f>'opportunities pursued'!$C$4:$C$8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B2B-40AD-978A-2943C9EC16EC}"/>
            </c:ext>
          </c:extLst>
        </c:ser>
        <c:ser>
          <c:idx val="1"/>
          <c:order val="1"/>
          <c:tx>
            <c:strRef>
              <c:f>'opportunities pursued'!$D$3</c:f>
              <c:strCache>
                <c:ptCount val="1"/>
                <c:pt idx="0">
                  <c:v>Values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'opportunities pursued'!$B$4:$B$8</c:f>
              <c:strCache>
                <c:ptCount val="5"/>
                <c:pt idx="0">
                  <c:v>2022-23</c:v>
                </c:pt>
                <c:pt idx="1">
                  <c:v>2023-24 (Export)</c:v>
                </c:pt>
                <c:pt idx="2">
                  <c:v>2023-24 (domestic)</c:v>
                </c:pt>
                <c:pt idx="3">
                  <c:v>2024-25(domestic)</c:v>
                </c:pt>
                <c:pt idx="4">
                  <c:v>2024-25(export)</c:v>
                </c:pt>
              </c:strCache>
            </c:strRef>
          </c:cat>
          <c:val>
            <c:numRef>
              <c:f>'opportunities pursued'!$D$4:$D$8</c:f>
              <c:numCache>
                <c:formatCode>General</c:formatCode>
                <c:ptCount val="5"/>
                <c:pt idx="0">
                  <c:v>25</c:v>
                </c:pt>
                <c:pt idx="1">
                  <c:v>14</c:v>
                </c:pt>
                <c:pt idx="2">
                  <c:v>1294.3</c:v>
                </c:pt>
                <c:pt idx="3">
                  <c:v>570</c:v>
                </c:pt>
                <c:pt idx="4">
                  <c:v>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B2B-40AD-978A-2943C9EC16EC}"/>
            </c:ext>
          </c:extLst>
        </c:ser>
        <c:ser>
          <c:idx val="2"/>
          <c:order val="2"/>
          <c:tx>
            <c:strRef>
              <c:f>'opportunities pursued'!$E$3</c:f>
              <c:strCache>
                <c:ptCount val="1"/>
                <c:pt idx="0">
                  <c:v>RFP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'opportunities pursued'!$B$4:$B$8</c:f>
              <c:strCache>
                <c:ptCount val="5"/>
                <c:pt idx="0">
                  <c:v>2022-23</c:v>
                </c:pt>
                <c:pt idx="1">
                  <c:v>2023-24 (Export)</c:v>
                </c:pt>
                <c:pt idx="2">
                  <c:v>2023-24 (domestic)</c:v>
                </c:pt>
                <c:pt idx="3">
                  <c:v>2024-25(domestic)</c:v>
                </c:pt>
                <c:pt idx="4">
                  <c:v>2024-25(export)</c:v>
                </c:pt>
              </c:strCache>
            </c:strRef>
          </c:cat>
          <c:val>
            <c:numRef>
              <c:f>'opportunities pursued'!$E$4:$E$8</c:f>
              <c:numCache>
                <c:formatCode>General</c:formatCode>
                <c:ptCount val="5"/>
                <c:pt idx="0">
                  <c:v>35</c:v>
                </c:pt>
                <c:pt idx="1">
                  <c:v>9</c:v>
                </c:pt>
                <c:pt idx="2">
                  <c:v>45</c:v>
                </c:pt>
                <c:pt idx="3">
                  <c:v>29</c:v>
                </c:pt>
                <c:pt idx="4">
                  <c:v>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B2B-40AD-978A-2943C9EC16EC}"/>
            </c:ext>
          </c:extLst>
        </c:ser>
        <c:ser>
          <c:idx val="3"/>
          <c:order val="3"/>
          <c:tx>
            <c:strRef>
              <c:f>'opportunities pursued'!$F$3</c:f>
              <c:strCache>
                <c:ptCount val="1"/>
                <c:pt idx="0">
                  <c:v>Values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'opportunities pursued'!$B$4:$B$8</c:f>
              <c:strCache>
                <c:ptCount val="5"/>
                <c:pt idx="0">
                  <c:v>2022-23</c:v>
                </c:pt>
                <c:pt idx="1">
                  <c:v>2023-24 (Export)</c:v>
                </c:pt>
                <c:pt idx="2">
                  <c:v>2023-24 (domestic)</c:v>
                </c:pt>
                <c:pt idx="3">
                  <c:v>2024-25(domestic)</c:v>
                </c:pt>
                <c:pt idx="4">
                  <c:v>2024-25(export)</c:v>
                </c:pt>
              </c:strCache>
            </c:strRef>
          </c:cat>
          <c:val>
            <c:numRef>
              <c:f>'opportunities pursued'!$F$4:$F$8</c:f>
              <c:numCache>
                <c:formatCode>General</c:formatCode>
                <c:ptCount val="5"/>
                <c:pt idx="0">
                  <c:v>1500</c:v>
                </c:pt>
                <c:pt idx="1">
                  <c:v>38.700000000000003</c:v>
                </c:pt>
                <c:pt idx="2">
                  <c:v>1550</c:v>
                </c:pt>
                <c:pt idx="3">
                  <c:v>2703.6</c:v>
                </c:pt>
                <c:pt idx="4">
                  <c:v>300.41000000000003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B2B-40AD-978A-2943C9EC16EC}"/>
            </c:ext>
          </c:extLst>
        </c:ser>
        <c:ser>
          <c:idx val="4"/>
          <c:order val="4"/>
          <c:tx>
            <c:strRef>
              <c:f>'opportunities pursued'!$G$3</c:f>
              <c:strCache>
                <c:ptCount val="1"/>
                <c:pt idx="0">
                  <c:v>BQs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'opportunities pursued'!$B$4:$B$8</c:f>
              <c:strCache>
                <c:ptCount val="5"/>
                <c:pt idx="0">
                  <c:v>2022-23</c:v>
                </c:pt>
                <c:pt idx="1">
                  <c:v>2023-24 (Export)</c:v>
                </c:pt>
                <c:pt idx="2">
                  <c:v>2023-24 (domestic)</c:v>
                </c:pt>
                <c:pt idx="3">
                  <c:v>2024-25(domestic)</c:v>
                </c:pt>
                <c:pt idx="4">
                  <c:v>2024-25(export)</c:v>
                </c:pt>
              </c:strCache>
            </c:strRef>
          </c:cat>
          <c:val>
            <c:numRef>
              <c:f>'opportunities pursued'!$G$4:$G$8</c:f>
              <c:numCache>
                <c:formatCode>General</c:formatCode>
                <c:ptCount val="5"/>
                <c:pt idx="0">
                  <c:v>10</c:v>
                </c:pt>
                <c:pt idx="1">
                  <c:v>2</c:v>
                </c:pt>
                <c:pt idx="2">
                  <c:v>46</c:v>
                </c:pt>
                <c:pt idx="3">
                  <c:v>60</c:v>
                </c:pt>
                <c:pt idx="4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3B2B-40AD-978A-2943C9EC16EC}"/>
            </c:ext>
          </c:extLst>
        </c:ser>
        <c:ser>
          <c:idx val="5"/>
          <c:order val="5"/>
          <c:tx>
            <c:strRef>
              <c:f>'opportunities pursued'!$H$3</c:f>
              <c:strCache>
                <c:ptCount val="1"/>
                <c:pt idx="0">
                  <c:v>Values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4736047384138187E-3"/>
                  <c:y val="-4.075635194233111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B2B-40AD-978A-2943C9EC16EC}"/>
                </c:ext>
              </c:extLst>
            </c:dLbl>
            <c:dLbl>
              <c:idx val="1"/>
              <c:layout>
                <c:manualLayout>
                  <c:x val="4.9472094768277285E-3"/>
                  <c:y val="-5.670448965889542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B2B-40AD-978A-2943C9EC16EC}"/>
                </c:ext>
              </c:extLst>
            </c:dLbl>
            <c:dLbl>
              <c:idx val="2"/>
              <c:layout>
                <c:manualLayout>
                  <c:x val="-2.4736047384139549E-3"/>
                  <c:y val="-4.430038254601206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B2B-40AD-978A-2943C9EC16EC}"/>
                </c:ext>
              </c:extLst>
            </c:dLbl>
            <c:dLbl>
              <c:idx val="3"/>
              <c:layout>
                <c:manualLayout>
                  <c:x val="-9.0697792659868002E-17"/>
                  <c:y val="-2.48082142257667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B2B-40AD-978A-2943C9EC16EC}"/>
                </c:ext>
              </c:extLst>
            </c:dLbl>
            <c:dLbl>
              <c:idx val="4"/>
              <c:layout>
                <c:manualLayout>
                  <c:x val="0"/>
                  <c:y val="-3.89843366404906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B2B-40AD-978A-2943C9EC16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'opportunities pursued'!$B$4:$B$8</c:f>
              <c:strCache>
                <c:ptCount val="5"/>
                <c:pt idx="0">
                  <c:v>2022-23</c:v>
                </c:pt>
                <c:pt idx="1">
                  <c:v>2023-24 (Export)</c:v>
                </c:pt>
                <c:pt idx="2">
                  <c:v>2023-24 (domestic)</c:v>
                </c:pt>
                <c:pt idx="3">
                  <c:v>2024-25(domestic)</c:v>
                </c:pt>
                <c:pt idx="4">
                  <c:v>2024-25(export)</c:v>
                </c:pt>
              </c:strCache>
            </c:strRef>
          </c:cat>
          <c:val>
            <c:numRef>
              <c:f>'opportunities pursued'!$H$4:$H$8</c:f>
              <c:numCache>
                <c:formatCode>General</c:formatCode>
                <c:ptCount val="5"/>
                <c:pt idx="0">
                  <c:v>85</c:v>
                </c:pt>
                <c:pt idx="1">
                  <c:v>69</c:v>
                </c:pt>
                <c:pt idx="2">
                  <c:v>1447.4</c:v>
                </c:pt>
                <c:pt idx="3">
                  <c:v>569.36</c:v>
                </c:pt>
                <c:pt idx="4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3B2B-40AD-978A-2943C9EC1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1"/>
        <c:overlap val="100"/>
        <c:axId val="200106752"/>
        <c:axId val="200108672"/>
      </c:barChart>
      <c:catAx>
        <c:axId val="200106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8672"/>
        <c:crosses val="autoZero"/>
        <c:auto val="1"/>
        <c:lblAlgn val="ctr"/>
        <c:lblOffset val="100"/>
        <c:noMultiLvlLbl val="0"/>
      </c:catAx>
      <c:valAx>
        <c:axId val="2001086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  <a:r>
                  <a:rPr lang="en-IN" baseline="0"/>
                  <a:t> in crores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0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>
          <a:lumMod val="95000"/>
          <a:lumOff val="5000"/>
        </a:schemeClr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372714981689358"/>
          <c:y val="0.13236906939469595"/>
          <c:w val="0.61926601132947212"/>
          <c:h val="0.75425198609803923"/>
        </c:manualLayout>
      </c:layout>
      <c:doughnutChart>
        <c:varyColors val="1"/>
        <c:ser>
          <c:idx val="0"/>
          <c:order val="0"/>
          <c:tx>
            <c:strRef>
              <c:f>'opportunities pursued'!$C$3</c:f>
              <c:strCache>
                <c:ptCount val="1"/>
                <c:pt idx="0">
                  <c:v>EOI/RFI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D48-43CF-825D-14760F1C73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6D48-43CF-825D-14760F1C73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D48-43CF-825D-14760F1C73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D48-43CF-825D-14760F1C73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6D48-43CF-825D-14760F1C733E}"/>
              </c:ext>
            </c:extLst>
          </c:dPt>
          <c:dLbls>
            <c:dLbl>
              <c:idx val="0"/>
              <c:spPr>
                <a:noFill/>
                <a:ln w="9525"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Arial Black" panose="020B0A040201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 w="9525"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Arial Black" panose="020B0A040201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/>
                <a:ln w="9525"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Arial Black" panose="020B0A040201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spPr>
                <a:noFill/>
                <a:ln w="9525"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Arial Black" panose="020B0A040201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spPr>
                <a:noFill/>
                <a:ln w="9525"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Arial Black" panose="020B0A040201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 w="9525"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'opportunities pursued'!$B$4:$B$8</c:f>
              <c:strCache>
                <c:ptCount val="5"/>
                <c:pt idx="0">
                  <c:v>2022-23</c:v>
                </c:pt>
                <c:pt idx="1">
                  <c:v>2023-24 (Export)</c:v>
                </c:pt>
                <c:pt idx="2">
                  <c:v>2023-24 (domestic)</c:v>
                </c:pt>
                <c:pt idx="3">
                  <c:v>2024-25(domestic)</c:v>
                </c:pt>
                <c:pt idx="4">
                  <c:v>2024-25(export)</c:v>
                </c:pt>
              </c:strCache>
            </c:strRef>
          </c:cat>
          <c:val>
            <c:numRef>
              <c:f>'opportunities pursued'!$C$4:$C$8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48-43CF-825D-14760F1C7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'opportunities pursued'!$C$22</c:f>
              <c:strCache>
                <c:ptCount val="1"/>
                <c:pt idx="0">
                  <c:v>RFP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788-4B78-B2C3-1CF5261BF7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4788-4B78-B2C3-1CF5261BF7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7AD-4524-AE2B-1C860E5DF4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788-4B78-B2C3-1CF5261BF7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4788-4B78-B2C3-1CF5261BF77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Arial Black" panose="020B0A040201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Arial Black" panose="020B0A040201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Arial Black" panose="020B0A040201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Arial Black" panose="020B0A040201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'opportunities pursued'!$B$23:$B$27</c:f>
              <c:strCache>
                <c:ptCount val="5"/>
                <c:pt idx="0">
                  <c:v>2022-23</c:v>
                </c:pt>
                <c:pt idx="1">
                  <c:v>2023-24 (Export)</c:v>
                </c:pt>
                <c:pt idx="2">
                  <c:v>2023-24 (domestic)</c:v>
                </c:pt>
                <c:pt idx="3">
                  <c:v>2024-25(domestic)</c:v>
                </c:pt>
                <c:pt idx="4">
                  <c:v>2024-25(export)</c:v>
                </c:pt>
              </c:strCache>
            </c:strRef>
          </c:cat>
          <c:val>
            <c:numRef>
              <c:f>'opportunities pursued'!$C$23:$C$27</c:f>
              <c:numCache>
                <c:formatCode>General</c:formatCode>
                <c:ptCount val="5"/>
                <c:pt idx="0">
                  <c:v>35</c:v>
                </c:pt>
                <c:pt idx="1">
                  <c:v>9</c:v>
                </c:pt>
                <c:pt idx="2">
                  <c:v>45</c:v>
                </c:pt>
                <c:pt idx="3">
                  <c:v>29</c:v>
                </c:pt>
                <c:pt idx="4">
                  <c:v>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88-4B78-B2C3-1CF5261BF77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154894877765493"/>
          <c:y val="0.1451234795161194"/>
          <c:w val="0.49966298806590143"/>
          <c:h val="0.75336137482601029"/>
        </c:manualLayout>
      </c:layout>
      <c:doughnutChart>
        <c:varyColors val="1"/>
        <c:ser>
          <c:idx val="0"/>
          <c:order val="0"/>
          <c:tx>
            <c:strRef>
              <c:f>'opportunities pursued'!$C$30</c:f>
              <c:strCache>
                <c:ptCount val="1"/>
                <c:pt idx="0">
                  <c:v>BQs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33E-4462-A384-1CB5F968CF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04AA-4875-B6A6-783F82BA3C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4AA-4875-B6A6-783F82BA3C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04AA-4875-B6A6-783F82BA3C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4AA-4875-B6A6-783F82BA3CC3}"/>
              </c:ext>
            </c:extLst>
          </c:dPt>
          <c:dLbls>
            <c:dLbl>
              <c:idx val="1"/>
              <c:layout>
                <c:manualLayout>
                  <c:x val="0.17047419517191378"/>
                  <c:y val="-0.16172711460135247"/>
                </c:manualLayout>
              </c:layout>
              <c:tx>
                <c:rich>
                  <a:bodyPr/>
                  <a:lstStyle/>
                  <a:p>
                    <a:fld id="{75DED41C-4BA2-434E-88AB-9E4878BD2D4C}" type="CATEGORYNAME">
                      <a:rPr lang="en-US">
                        <a:solidFill>
                          <a:schemeClr val="accent2">
                            <a:lumMod val="75000"/>
                          </a:schemeClr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chemeClr val="accent2">
                            <a:lumMod val="75000"/>
                          </a:schemeClr>
                        </a:solidFill>
                      </a:rPr>
                      <a:t>
</a:t>
                    </a:r>
                    <a:fld id="{A1EEDA7F-A624-4E96-A51C-B74DB66706F1}" type="PERCENTAGE">
                      <a:rPr lang="en-US" baseline="0">
                        <a:solidFill>
                          <a:schemeClr val="accent2">
                            <a:lumMod val="75000"/>
                          </a:schemeClr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chemeClr val="accent2">
                          <a:lumMod val="75000"/>
                        </a:schemeClr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4AA-4875-B6A6-783F82BA3CC3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Arial Black" panose="020B0A04020102020204" pitchFamily="34" charset="0"/>
                        <a:ea typeface="+mn-ea"/>
                        <a:cs typeface="+mn-cs"/>
                      </a:defRPr>
                    </a:pPr>
                    <a:fld id="{3BA39AC0-6D51-43E4-B5AC-9CDAE8CFB4FB}" type="CATEGORYNAME">
                      <a:rPr lang="en-US" sz="1000"/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Arial Black" panose="020B0A04020102020204" pitchFamily="34" charset="0"/>
                          <a:ea typeface="+mn-ea"/>
                          <a:cs typeface="+mn-cs"/>
                        </a:defRPr>
                      </a:pPr>
                      <a:t>[CATEGORY NAME]</a:t>
                    </a:fld>
                    <a:r>
                      <a:rPr lang="en-US" sz="1000" baseline="0"/>
                      <a:t>
</a:t>
                    </a:r>
                    <a:fld id="{600C3F29-A79F-4516-8739-7F7E86BB9388}" type="PERCENTAGE">
                      <a:rPr lang="en-US" sz="1000" baseline="0"/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Arial Black" panose="020B0A04020102020204" pitchFamily="34" charset="0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 sz="10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4AA-4875-B6A6-783F82BA3CC3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lt1"/>
                        </a:solidFill>
                        <a:latin typeface="Arial Black" panose="020B0A04020102020204" pitchFamily="34" charset="0"/>
                        <a:ea typeface="+mn-ea"/>
                        <a:cs typeface="+mn-cs"/>
                      </a:defRPr>
                    </a:pPr>
                    <a:fld id="{9710BF07-32C2-4B5E-A7A6-26AA37BE22C2}" type="CATEGORYNAME">
                      <a:rPr lang="en-US" sz="1000"/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Arial Black" panose="020B0A04020102020204" pitchFamily="34" charset="0"/>
                          <a:ea typeface="+mn-ea"/>
                          <a:cs typeface="+mn-cs"/>
                        </a:defRPr>
                      </a:pPr>
                      <a:t>[CATEGORY NAME]</a:t>
                    </a:fld>
                    <a:r>
                      <a:rPr lang="en-US" sz="1000" baseline="0"/>
                      <a:t>
</a:t>
                    </a:r>
                    <a:fld id="{4D8BBB0D-D91B-48A5-8C6E-D213D0F156AF}" type="PERCENTAGE">
                      <a:rPr lang="en-US" sz="1000" baseline="0"/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Arial Black" panose="020B0A04020102020204" pitchFamily="34" charset="0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 sz="10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4AA-4875-B6A6-783F82BA3CC3}"/>
                </c:ext>
              </c:extLst>
            </c:dLbl>
            <c:dLbl>
              <c:idx val="4"/>
              <c:layout>
                <c:manualLayout>
                  <c:x val="-0.19920580109976443"/>
                  <c:y val="-0.12129533595101435"/>
                </c:manualLayout>
              </c:layout>
              <c:tx>
                <c:rich>
                  <a:bodyPr/>
                  <a:lstStyle/>
                  <a:p>
                    <a:fld id="{C175BC88-4589-41C6-AA8F-C92982B1204D}" type="CATEGORYNAME">
                      <a:rPr lang="en-US">
                        <a:solidFill>
                          <a:srgbClr val="00B0F0"/>
                        </a:solidFill>
                      </a:rPr>
                      <a:pPr/>
                      <a:t>[CATEGORY NAME]</a:t>
                    </a:fld>
                    <a:r>
                      <a:rPr lang="en-US" baseline="0">
                        <a:solidFill>
                          <a:srgbClr val="00B0F0"/>
                        </a:solidFill>
                      </a:rPr>
                      <a:t>
</a:t>
                    </a:r>
                    <a:fld id="{4AF70E9C-6353-4334-AACC-DCFB2B739D10}" type="PERCENTAGE">
                      <a:rPr lang="en-US" baseline="0">
                        <a:solidFill>
                          <a:srgbClr val="00B0F0"/>
                        </a:solidFill>
                      </a:rPr>
                      <a:pPr/>
                      <a:t>[PERCENTAGE]</a:t>
                    </a:fld>
                    <a:endParaRPr lang="en-US" baseline="0">
                      <a:solidFill>
                        <a:srgbClr val="00B0F0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4AA-4875-B6A6-783F82BA3C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'opportunities pursued'!$B$31:$B$35</c:f>
              <c:strCache>
                <c:ptCount val="5"/>
                <c:pt idx="0">
                  <c:v>2022-23</c:v>
                </c:pt>
                <c:pt idx="1">
                  <c:v>2023-24 (Export)</c:v>
                </c:pt>
                <c:pt idx="2">
                  <c:v>2023-24 (domestic)</c:v>
                </c:pt>
                <c:pt idx="3">
                  <c:v>2024-25(domestic)</c:v>
                </c:pt>
                <c:pt idx="4">
                  <c:v>2024-25(export)</c:v>
                </c:pt>
              </c:strCache>
            </c:strRef>
          </c:cat>
          <c:val>
            <c:numRef>
              <c:f>'opportunities pursued'!$C$31:$C$35</c:f>
              <c:numCache>
                <c:formatCode>General</c:formatCode>
                <c:ptCount val="5"/>
                <c:pt idx="0">
                  <c:v>10</c:v>
                </c:pt>
                <c:pt idx="1">
                  <c:v>2</c:v>
                </c:pt>
                <c:pt idx="2">
                  <c:v>46</c:v>
                </c:pt>
                <c:pt idx="3">
                  <c:v>60</c:v>
                </c:pt>
                <c:pt idx="4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4AA-4875-B6A6-783F82BA3CC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'tender types'!$C$5</c:f>
              <c:strCache>
                <c:ptCount val="1"/>
                <c:pt idx="0">
                  <c:v>2020-21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AAE-46F3-A706-45022A3AE2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AAE-46F3-A706-45022A3AE2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AAE-46F3-A706-45022A3AE2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AAE-46F3-A706-45022A3AE2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AAE-46F3-A706-45022A3AE2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AAE-46F3-A706-45022A3AE27E}"/>
              </c:ext>
            </c:extLst>
          </c:dPt>
          <c:cat>
            <c:strRef>
              <c:f>'tender types'!$D$4:$I$4</c:f>
              <c:strCache>
                <c:ptCount val="6"/>
                <c:pt idx="0">
                  <c:v>ST</c:v>
                </c:pt>
                <c:pt idx="1">
                  <c:v>Values</c:v>
                </c:pt>
                <c:pt idx="2">
                  <c:v>MT</c:v>
                </c:pt>
                <c:pt idx="3">
                  <c:v>Values</c:v>
                </c:pt>
                <c:pt idx="4">
                  <c:v>LT</c:v>
                </c:pt>
                <c:pt idx="5">
                  <c:v>Values</c:v>
                </c:pt>
              </c:strCache>
            </c:strRef>
          </c:cat>
          <c:val>
            <c:numRef>
              <c:f>'tender types'!$D$5:$I$5</c:f>
              <c:numCache>
                <c:formatCode>General</c:formatCode>
                <c:ptCount val="6"/>
                <c:pt idx="0">
                  <c:v>3</c:v>
                </c:pt>
                <c:pt idx="1">
                  <c:v>20</c:v>
                </c:pt>
                <c:pt idx="2">
                  <c:v>25</c:v>
                </c:pt>
                <c:pt idx="3">
                  <c:v>750</c:v>
                </c:pt>
                <c:pt idx="4">
                  <c:v>1</c:v>
                </c:pt>
                <c:pt idx="5">
                  <c:v>317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99E-49B3-AAC2-0E4CA9EB8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0"/>
        <c:holeSize val="3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'tender types'!$B$12</c:f>
              <c:strCache>
                <c:ptCount val="1"/>
                <c:pt idx="0">
                  <c:v>2021-22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C25-409F-88BD-21B5364C2F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C25-409F-88BD-21B5364C2F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AC25-409F-88BD-21B5364C2F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842-4FC5-829A-4E465873D79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AC25-409F-88BD-21B5364C2F2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C25-409F-88BD-21B5364C2F21}"/>
              </c:ext>
            </c:extLst>
          </c:dPt>
          <c:cat>
            <c:strRef>
              <c:f>'tender types'!$C$11:$H$11</c:f>
              <c:strCache>
                <c:ptCount val="6"/>
                <c:pt idx="0">
                  <c:v>ST</c:v>
                </c:pt>
                <c:pt idx="1">
                  <c:v>Values</c:v>
                </c:pt>
                <c:pt idx="2">
                  <c:v>MT</c:v>
                </c:pt>
                <c:pt idx="3">
                  <c:v>Values</c:v>
                </c:pt>
                <c:pt idx="4">
                  <c:v>LT</c:v>
                </c:pt>
                <c:pt idx="5">
                  <c:v>Values</c:v>
                </c:pt>
              </c:strCache>
            </c:strRef>
          </c:cat>
          <c:val>
            <c:numRef>
              <c:f>'tender types'!$C$12:$H$12</c:f>
              <c:numCache>
                <c:formatCode>General</c:formatCode>
                <c:ptCount val="6"/>
                <c:pt idx="0">
                  <c:v>5</c:v>
                </c:pt>
                <c:pt idx="1">
                  <c:v>123.98</c:v>
                </c:pt>
                <c:pt idx="2">
                  <c:v>45</c:v>
                </c:pt>
                <c:pt idx="3">
                  <c:v>1550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C25-409F-88BD-21B5364C2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1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'tender types'!$C$25</c:f>
              <c:strCache>
                <c:ptCount val="1"/>
                <c:pt idx="0">
                  <c:v>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892-4C01-864D-449B974AD8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892-4C01-864D-449B974AD8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892-4C01-864D-449B974AD8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892-4C01-864D-449B974AD8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6D2-472E-97B4-D740DC5C0A6A}"/>
              </c:ext>
            </c:extLst>
          </c:dPt>
          <c:dLbls>
            <c:dLbl>
              <c:idx val="4"/>
              <c:layout>
                <c:manualLayout>
                  <c:x val="-8.3670715249662672E-2"/>
                  <c:y val="2.82276646136291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/>
                      </a:solidFill>
                      <a:latin typeface="Arial Black" panose="020B0A040201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D2-472E-97B4-D740DC5C0A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'tender types'!$B$26:$B$30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</c:v>
                </c:pt>
              </c:strCache>
            </c:strRef>
          </c:cat>
          <c:val>
            <c:numRef>
              <c:f>'tender types'!$C$26:$C$30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6D2-472E-97B4-D740DC5C0A6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'tender types'!$C$34</c:f>
              <c:strCache>
                <c:ptCount val="1"/>
                <c:pt idx="0">
                  <c:v>MT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931-40D7-93FF-A84125C75B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931-40D7-93FF-A84125C75B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24DF-4EA8-939C-CAF6470DEA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931-40D7-93FF-A84125C75BB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4DF-4EA8-939C-CAF6470DEAF2}"/>
              </c:ext>
            </c:extLst>
          </c:dPt>
          <c:dLbls>
            <c:dLbl>
              <c:idx val="2"/>
              <c:layout>
                <c:manualLayout>
                  <c:x val="6.8568097224090671E-2"/>
                  <c:y val="-4.115307836825291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2">
                          <a:lumMod val="25000"/>
                        </a:schemeClr>
                      </a:solidFill>
                      <a:latin typeface="Arial Black" panose="020B0A040201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2038132918825122"/>
                      <c:h val="0.206050544874570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4DF-4EA8-939C-CAF6470DEAF2}"/>
                </c:ext>
              </c:extLst>
            </c:dLbl>
            <c:dLbl>
              <c:idx val="4"/>
              <c:layout>
                <c:manualLayout>
                  <c:x val="-8.4137114060750112E-2"/>
                  <c:y val="3.40389126199420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B0F0"/>
                      </a:solidFill>
                      <a:latin typeface="Arial Black" panose="020B0A040201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DF-4EA8-939C-CAF6470DEA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'tender types'!$B$35:$B$39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</c:v>
                </c:pt>
              </c:strCache>
            </c:strRef>
          </c:cat>
          <c:val>
            <c:numRef>
              <c:f>'tender types'!$C$35:$C$39</c:f>
              <c:numCache>
                <c:formatCode>General</c:formatCode>
                <c:ptCount val="5"/>
                <c:pt idx="0">
                  <c:v>25</c:v>
                </c:pt>
                <c:pt idx="1">
                  <c:v>45</c:v>
                </c:pt>
                <c:pt idx="2">
                  <c:v>5</c:v>
                </c:pt>
                <c:pt idx="3">
                  <c:v>93</c:v>
                </c:pt>
                <c:pt idx="4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DF-4EA8-939C-CAF6470DEAF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'tender types'!$C$42</c:f>
              <c:strCache>
                <c:ptCount val="1"/>
                <c:pt idx="0">
                  <c:v>LT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174-41EA-9AFB-84A60A665C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9789-48F7-86F0-646DDC7D25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789-48F7-86F0-646DDC7D25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9789-48F7-86F0-646DDC7D25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789-48F7-86F0-646DDC7D2583}"/>
              </c:ext>
            </c:extLst>
          </c:dPt>
          <c:dLbls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789-48F7-86F0-646DDC7D2583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9-48F7-86F0-646DDC7D2583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9-48F7-86F0-646DDC7D2583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9-48F7-86F0-646DDC7D25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'tender types'!$B$43:$B$47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</c:v>
                </c:pt>
              </c:strCache>
            </c:strRef>
          </c:cat>
          <c:val>
            <c:numRef>
              <c:f>'tender types'!$C$43:$C$47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789-48F7-86F0-646DDC7D258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Segment wise Orders received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wise'!$C$4</c:f>
              <c:strCache>
                <c:ptCount val="1"/>
                <c:pt idx="0">
                  <c:v>Def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00E-420C-8C6F-55696C83F88C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00E-420C-8C6F-55696C83F88C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00E-420C-8C6F-55696C83F88C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00E-420C-8C6F-55696C83F88C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00E-420C-8C6F-55696C83F8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'segment wise'!$B$5:$B$9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2024-25(Q1)</c:v>
                </c:pt>
              </c:strCache>
            </c:strRef>
          </c:cat>
          <c:val>
            <c:numRef>
              <c:f>'segment wise'!$C$5:$C$9</c:f>
              <c:numCache>
                <c:formatCode>General</c:formatCode>
                <c:ptCount val="5"/>
                <c:pt idx="0">
                  <c:v>9</c:v>
                </c:pt>
                <c:pt idx="1">
                  <c:v>2</c:v>
                </c:pt>
                <c:pt idx="2">
                  <c:v>8</c:v>
                </c:pt>
                <c:pt idx="3">
                  <c:v>12</c:v>
                </c:pt>
                <c:pt idx="4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500E-420C-8C6F-55696C83F88C}"/>
            </c:ext>
          </c:extLst>
        </c:ser>
        <c:ser>
          <c:idx val="1"/>
          <c:order val="1"/>
          <c:tx>
            <c:strRef>
              <c:f>'segment wise'!$D$4</c:f>
              <c:strCache>
                <c:ptCount val="1"/>
                <c:pt idx="0">
                  <c:v>Non Def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500E-420C-8C6F-55696C83F88C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500E-420C-8C6F-55696C83F88C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500E-420C-8C6F-55696C83F88C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500E-420C-8C6F-55696C83F88C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500E-420C-8C6F-55696C83F8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'segment wise'!$B$5:$B$9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2024-25(Q1)</c:v>
                </c:pt>
              </c:strCache>
            </c:strRef>
          </c:cat>
          <c:val>
            <c:numRef>
              <c:f>'segment wise'!$D$5:$D$9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500E-420C-8C6F-55696C83F8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1205632"/>
        <c:axId val="201228288"/>
      </c:barChart>
      <c:catAx>
        <c:axId val="20120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28288"/>
        <c:crosses val="autoZero"/>
        <c:auto val="1"/>
        <c:lblAlgn val="ctr"/>
        <c:lblOffset val="100"/>
        <c:noMultiLvlLbl val="0"/>
      </c:catAx>
      <c:valAx>
        <c:axId val="20122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Segment wise Bids Analysed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wise'!$C$45</c:f>
              <c:strCache>
                <c:ptCount val="1"/>
                <c:pt idx="0">
                  <c:v>Def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'segment wise'!$B$46:$B$50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2024-25(Q1)</c:v>
                </c:pt>
              </c:strCache>
            </c:strRef>
          </c:cat>
          <c:val>
            <c:numRef>
              <c:f>'segment wise'!$C$46:$C$50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17</c:v>
                </c:pt>
                <c:pt idx="3">
                  <c:v>20</c:v>
                </c:pt>
                <c:pt idx="4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823-4C83-B642-E23D51A0D8CC}"/>
            </c:ext>
          </c:extLst>
        </c:ser>
        <c:ser>
          <c:idx val="1"/>
          <c:order val="1"/>
          <c:tx>
            <c:strRef>
              <c:f>'segment wise'!$D$45</c:f>
              <c:strCache>
                <c:ptCount val="1"/>
                <c:pt idx="0">
                  <c:v>Non Def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'segment wise'!$B$46:$B$50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2024-25(Q1)</c:v>
                </c:pt>
              </c:strCache>
            </c:strRef>
          </c:cat>
          <c:val>
            <c:numRef>
              <c:f>'segment wise'!$D$46:$D$50</c:f>
              <c:numCache>
                <c:formatCode>General</c:formatCode>
                <c:ptCount val="5"/>
                <c:pt idx="0">
                  <c:v>4</c:v>
                </c:pt>
                <c:pt idx="1">
                  <c:v>7</c:v>
                </c:pt>
                <c:pt idx="2">
                  <c:v>15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823-4C83-B642-E23D51A0D8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481408"/>
        <c:axId val="200487680"/>
      </c:barChart>
      <c:catAx>
        <c:axId val="200481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7680"/>
        <c:crosses val="autoZero"/>
        <c:auto val="1"/>
        <c:lblAlgn val="ctr"/>
        <c:lblOffset val="100"/>
        <c:noMultiLvlLbl val="0"/>
      </c:catAx>
      <c:valAx>
        <c:axId val="20048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/>
                    </a:solidFill>
                  </a:rPr>
                  <a:t>values</a:t>
                </a:r>
                <a:r>
                  <a:rPr lang="en-IN" baseline="0">
                    <a:solidFill>
                      <a:schemeClr val="tx1"/>
                    </a:solidFill>
                  </a:rPr>
                  <a:t> in crores</a:t>
                </a:r>
                <a:endParaRPr lang="en-IN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>
          <a:lumMod val="95000"/>
          <a:lumOff val="5000"/>
        </a:schemeClr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'segment wise'!$H$4</c:f>
              <c:strCache>
                <c:ptCount val="1"/>
                <c:pt idx="0">
                  <c:v>Non Def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41F-4936-863D-326DD1794F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41F-4936-863D-326DD1794F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41F-4936-863D-326DD1794F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41F-4936-863D-326DD1794F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41F-4936-863D-326DD1794F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'segment wise'!$G$5:$G$9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2024-25(Q1)</c:v>
                </c:pt>
              </c:strCache>
            </c:strRef>
          </c:cat>
          <c:val>
            <c:numRef>
              <c:f>'segment wise'!$H$5:$H$9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6CC-4DDA-BFF2-A60ED7111A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217804141805423"/>
          <c:y val="0.93113621611930875"/>
          <c:w val="0.67656544552470221"/>
          <c:h val="6.2005836275410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'segment wise'!$C$4</c:f>
              <c:strCache>
                <c:ptCount val="1"/>
                <c:pt idx="0">
                  <c:v>Def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407-419B-B603-39DD218D35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407-419B-B603-39DD218D35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407-419B-B603-39DD218D35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B407-419B-B603-39DD218D35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B407-419B-B603-39DD218D35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'segment wise'!$B$5:$B$9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2024-25(Q1)</c:v>
                </c:pt>
              </c:strCache>
            </c:strRef>
          </c:cat>
          <c:val>
            <c:numRef>
              <c:f>'segment wise'!$C$5:$C$9</c:f>
              <c:numCache>
                <c:formatCode>General</c:formatCode>
                <c:ptCount val="5"/>
                <c:pt idx="0">
                  <c:v>9</c:v>
                </c:pt>
                <c:pt idx="1">
                  <c:v>2</c:v>
                </c:pt>
                <c:pt idx="2">
                  <c:v>8</c:v>
                </c:pt>
                <c:pt idx="3">
                  <c:v>12</c:v>
                </c:pt>
                <c:pt idx="4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C7E-4BF4-8A0E-314D25AD30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'segment wise'!$C$45</c:f>
              <c:strCache>
                <c:ptCount val="1"/>
                <c:pt idx="0">
                  <c:v>Def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3E0-423F-9BEF-86A41530B9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3E0-423F-9BEF-86A41530B9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3E0-423F-9BEF-86A41530B9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3E0-423F-9BEF-86A41530B9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3E0-423F-9BEF-86A41530B9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'segment wise'!$B$46:$B$50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2024-25(Q1)</c:v>
                </c:pt>
              </c:strCache>
            </c:strRef>
          </c:cat>
          <c:val>
            <c:numRef>
              <c:f>'segment wise'!$C$46:$C$50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17</c:v>
                </c:pt>
                <c:pt idx="3">
                  <c:v>20</c:v>
                </c:pt>
                <c:pt idx="4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0D3-4174-B2E3-1DBA7772CD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'segment wise'!$H$45</c:f>
              <c:strCache>
                <c:ptCount val="1"/>
                <c:pt idx="0">
                  <c:v>Non Def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DAF-4AF4-82B2-D5AEB0A9B5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DAF-4AF4-82B2-D5AEB0A9B5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DAF-4AF4-82B2-D5AEB0A9B5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DAF-4AF4-82B2-D5AEB0A9B5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DAF-4AF4-82B2-D5AEB0A9B5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'segment wise'!$G$46:$G$50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 </c:v>
                </c:pt>
                <c:pt idx="4">
                  <c:v>2024-25(Q1)</c:v>
                </c:pt>
              </c:strCache>
            </c:strRef>
          </c:cat>
          <c:val>
            <c:numRef>
              <c:f>'segment wise'!$H$46:$H$50</c:f>
              <c:numCache>
                <c:formatCode>General</c:formatCode>
                <c:ptCount val="5"/>
                <c:pt idx="0">
                  <c:v>4</c:v>
                </c:pt>
                <c:pt idx="1">
                  <c:v>7</c:v>
                </c:pt>
                <c:pt idx="2">
                  <c:v>15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9F3-47BD-AAC2-000D970474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Tender ANALYSIS – (Upto Mar 2024)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'tender analysis'!$B$7</c:f>
              <c:strCache>
                <c:ptCount val="1"/>
                <c:pt idx="0">
                  <c:v>Software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'tender analysis'!$C$6:$D$6</c:f>
              <c:strCache>
                <c:ptCount val="2"/>
                <c:pt idx="0">
                  <c:v>No of Bids</c:v>
                </c:pt>
                <c:pt idx="1">
                  <c:v>Value in Rs Crores</c:v>
                </c:pt>
              </c:strCache>
            </c:strRef>
          </c:cat>
          <c:val>
            <c:numRef>
              <c:f>'tender analysis'!$C$7:$D$7</c:f>
              <c:numCache>
                <c:formatCode>#,##0</c:formatCode>
                <c:ptCount val="2"/>
                <c:pt idx="0" formatCode="General">
                  <c:v>134</c:v>
                </c:pt>
                <c:pt idx="1">
                  <c:v>5144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C8-42CB-A7EA-4E99A22660C0}"/>
            </c:ext>
          </c:extLst>
        </c:ser>
        <c:ser>
          <c:idx val="1"/>
          <c:order val="1"/>
          <c:tx>
            <c:strRef>
              <c:f>'tender analysis'!$B$8</c:f>
              <c:strCache>
                <c:ptCount val="1"/>
                <c:pt idx="0">
                  <c:v>Hardware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'tender analysis'!$C$6:$D$6</c:f>
              <c:strCache>
                <c:ptCount val="2"/>
                <c:pt idx="0">
                  <c:v>No of Bids</c:v>
                </c:pt>
                <c:pt idx="1">
                  <c:v>Value in Rs Crores</c:v>
                </c:pt>
              </c:strCache>
            </c:strRef>
          </c:cat>
          <c:val>
            <c:numRef>
              <c:f>'tender analysis'!$C$8:$D$8</c:f>
              <c:numCache>
                <c:formatCode>#,##0</c:formatCode>
                <c:ptCount val="2"/>
                <c:pt idx="0" formatCode="General">
                  <c:v>249</c:v>
                </c:pt>
                <c:pt idx="1">
                  <c:v>10715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7C8-42CB-A7EA-4E99A22660C0}"/>
            </c:ext>
          </c:extLst>
        </c:ser>
        <c:ser>
          <c:idx val="2"/>
          <c:order val="2"/>
          <c:tx>
            <c:strRef>
              <c:f>'tender analysis'!$B$9</c:f>
              <c:strCache>
                <c:ptCount val="1"/>
                <c:pt idx="0">
                  <c:v>Software and Hardware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'tender analysis'!$C$6:$D$6</c:f>
              <c:strCache>
                <c:ptCount val="2"/>
                <c:pt idx="0">
                  <c:v>No of Bids</c:v>
                </c:pt>
                <c:pt idx="1">
                  <c:v>Value in Rs Crores</c:v>
                </c:pt>
              </c:strCache>
            </c:strRef>
          </c:cat>
          <c:val>
            <c:numRef>
              <c:f>'tender analysis'!$C$9:$D$9</c:f>
              <c:numCache>
                <c:formatCode>#,##0</c:formatCode>
                <c:ptCount val="2"/>
                <c:pt idx="0" formatCode="General">
                  <c:v>367</c:v>
                </c:pt>
                <c:pt idx="1">
                  <c:v>30949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D07-4E0B-995D-1E93678B98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1729920"/>
        <c:axId val="201760768"/>
      </c:barChart>
      <c:catAx>
        <c:axId val="201729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Bid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60768"/>
        <c:crosses val="autoZero"/>
        <c:auto val="1"/>
        <c:lblAlgn val="ctr"/>
        <c:lblOffset val="100"/>
        <c:noMultiLvlLbl val="0"/>
      </c:catAx>
      <c:valAx>
        <c:axId val="20176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 in croers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2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2">
                    <a:lumMod val="50000"/>
                  </a:schemeClr>
                </a:solidFill>
                <a:effectLst/>
              </a:rPr>
              <a:t>Domain Wise Breakup</a:t>
            </a:r>
            <a:r>
              <a:rPr lang="en-IN" sz="1400" b="0" i="0" u="none" strike="noStrike" baseline="0">
                <a:solidFill>
                  <a:schemeClr val="tx2">
                    <a:lumMod val="50000"/>
                  </a:schemeClr>
                </a:solidFill>
              </a:rPr>
              <a:t> </a:t>
            </a:r>
            <a:endParaRPr lang="en-IN">
              <a:solidFill>
                <a:schemeClr val="tx2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'tender analysis'!$C$27</c:f>
              <c:strCache>
                <c:ptCount val="1"/>
                <c:pt idx="0">
                  <c:v>No of Bids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'tender analysis'!$B$28:$B$44</c:f>
              <c:strCache>
                <c:ptCount val="17"/>
                <c:pt idx="0">
                  <c:v>AI/ML </c:v>
                </c:pt>
                <c:pt idx="1">
                  <c:v>App Development</c:v>
                </c:pt>
                <c:pt idx="2">
                  <c:v>App Migration</c:v>
                </c:pt>
                <c:pt idx="3">
                  <c:v>BFSI</c:v>
                </c:pt>
                <c:pt idx="4">
                  <c:v>Cloud</c:v>
                </c:pt>
                <c:pt idx="5">
                  <c:v>Customer Care</c:v>
                </c:pt>
                <c:pt idx="6">
                  <c:v>Cyber Security</c:v>
                </c:pt>
                <c:pt idx="7">
                  <c:v>E-Governance</c:v>
                </c:pt>
                <c:pt idx="8">
                  <c:v>ERP</c:v>
                </c:pt>
                <c:pt idx="9">
                  <c:v>Health</c:v>
                </c:pt>
                <c:pt idx="10">
                  <c:v>NMS</c:v>
                </c:pt>
                <c:pt idx="11">
                  <c:v>GIS</c:v>
                </c:pt>
                <c:pt idx="12">
                  <c:v>O&amp;M (App)</c:v>
                </c:pt>
                <c:pt idx="13">
                  <c:v>O&amp;M (COTS)</c:v>
                </c:pt>
                <c:pt idx="14">
                  <c:v>Power</c:v>
                </c:pt>
                <c:pt idx="15">
                  <c:v>Procurement</c:v>
                </c:pt>
                <c:pt idx="16">
                  <c:v>Video Analytics</c:v>
                </c:pt>
              </c:strCache>
            </c:strRef>
          </c:cat>
          <c:val>
            <c:numRef>
              <c:f>'tender analysis'!$C$28:$C$44</c:f>
              <c:numCache>
                <c:formatCode>General</c:formatCode>
                <c:ptCount val="17"/>
                <c:pt idx="0">
                  <c:v>7</c:v>
                </c:pt>
                <c:pt idx="1">
                  <c:v>28</c:v>
                </c:pt>
                <c:pt idx="2">
                  <c:v>1</c:v>
                </c:pt>
                <c:pt idx="3">
                  <c:v>6</c:v>
                </c:pt>
                <c:pt idx="4">
                  <c:v>15</c:v>
                </c:pt>
                <c:pt idx="5">
                  <c:v>1</c:v>
                </c:pt>
                <c:pt idx="6">
                  <c:v>5</c:v>
                </c:pt>
                <c:pt idx="7">
                  <c:v>8</c:v>
                </c:pt>
                <c:pt idx="8">
                  <c:v>21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25</c:v>
                </c:pt>
                <c:pt idx="16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567-46C3-93F9-ABB5698FE6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2136576"/>
        <c:axId val="202144000"/>
      </c:barChart>
      <c:lineChart>
        <c:grouping val="standard"/>
        <c:varyColors val="0"/>
        <c:ser>
          <c:idx val="1"/>
          <c:order val="1"/>
          <c:tx>
            <c:strRef>
              <c:f>'tender analysis'!$D$27</c:f>
              <c:strCache>
                <c:ptCount val="1"/>
                <c:pt idx="0">
                  <c:v>Value  in Rs Crores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36000" rIns="36000" bIns="10800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'tender analysis'!$B$28:$B$44</c:f>
              <c:strCache>
                <c:ptCount val="17"/>
                <c:pt idx="0">
                  <c:v>AI/ML </c:v>
                </c:pt>
                <c:pt idx="1">
                  <c:v>App Development</c:v>
                </c:pt>
                <c:pt idx="2">
                  <c:v>App Migration</c:v>
                </c:pt>
                <c:pt idx="3">
                  <c:v>BFSI</c:v>
                </c:pt>
                <c:pt idx="4">
                  <c:v>Cloud</c:v>
                </c:pt>
                <c:pt idx="5">
                  <c:v>Customer Care</c:v>
                </c:pt>
                <c:pt idx="6">
                  <c:v>Cyber Security</c:v>
                </c:pt>
                <c:pt idx="7">
                  <c:v>E-Governance</c:v>
                </c:pt>
                <c:pt idx="8">
                  <c:v>ERP</c:v>
                </c:pt>
                <c:pt idx="9">
                  <c:v>Health</c:v>
                </c:pt>
                <c:pt idx="10">
                  <c:v>NMS</c:v>
                </c:pt>
                <c:pt idx="11">
                  <c:v>GIS</c:v>
                </c:pt>
                <c:pt idx="12">
                  <c:v>O&amp;M (App)</c:v>
                </c:pt>
                <c:pt idx="13">
                  <c:v>O&amp;M (COTS)</c:v>
                </c:pt>
                <c:pt idx="14">
                  <c:v>Power</c:v>
                </c:pt>
                <c:pt idx="15">
                  <c:v>Procurement</c:v>
                </c:pt>
                <c:pt idx="16">
                  <c:v>Video Analytics</c:v>
                </c:pt>
              </c:strCache>
            </c:strRef>
          </c:cat>
          <c:val>
            <c:numRef>
              <c:f>'tender analysis'!$D$28:$D$44</c:f>
              <c:numCache>
                <c:formatCode>General</c:formatCode>
                <c:ptCount val="17"/>
                <c:pt idx="0">
                  <c:v>143</c:v>
                </c:pt>
                <c:pt idx="1">
                  <c:v>793</c:v>
                </c:pt>
                <c:pt idx="2">
                  <c:v>15</c:v>
                </c:pt>
                <c:pt idx="3">
                  <c:v>179</c:v>
                </c:pt>
                <c:pt idx="4" formatCode="#,##0">
                  <c:v>1241</c:v>
                </c:pt>
                <c:pt idx="5">
                  <c:v>22</c:v>
                </c:pt>
                <c:pt idx="6">
                  <c:v>261</c:v>
                </c:pt>
                <c:pt idx="7">
                  <c:v>619</c:v>
                </c:pt>
                <c:pt idx="8">
                  <c:v>775</c:v>
                </c:pt>
                <c:pt idx="9">
                  <c:v>35</c:v>
                </c:pt>
                <c:pt idx="10">
                  <c:v>84</c:v>
                </c:pt>
                <c:pt idx="11">
                  <c:v>102</c:v>
                </c:pt>
                <c:pt idx="12">
                  <c:v>112</c:v>
                </c:pt>
                <c:pt idx="13">
                  <c:v>56</c:v>
                </c:pt>
                <c:pt idx="14">
                  <c:v>68</c:v>
                </c:pt>
                <c:pt idx="15">
                  <c:v>590</c:v>
                </c:pt>
                <c:pt idx="16">
                  <c:v>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567-46C3-93F9-ABB5698FE6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2160000"/>
        <c:axId val="202158464"/>
      </c:lineChart>
      <c:catAx>
        <c:axId val="202136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2">
                        <a:lumMod val="50000"/>
                      </a:schemeClr>
                    </a:solidFill>
                  </a:rPr>
                  <a:t>SW</a:t>
                </a:r>
                <a:r>
                  <a:rPr lang="en-IN" baseline="0">
                    <a:solidFill>
                      <a:schemeClr val="tx2">
                        <a:lumMod val="50000"/>
                      </a:schemeClr>
                    </a:solidFill>
                  </a:rPr>
                  <a:t> domain</a:t>
                </a:r>
                <a:endParaRPr lang="en-IN">
                  <a:solidFill>
                    <a:schemeClr val="tx2">
                      <a:lumMod val="50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4000"/>
        <c:crosses val="autoZero"/>
        <c:auto val="1"/>
        <c:lblAlgn val="ctr"/>
        <c:lblOffset val="100"/>
        <c:noMultiLvlLbl val="0"/>
      </c:catAx>
      <c:valAx>
        <c:axId val="20214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>
                    <a:solidFill>
                      <a:schemeClr val="tx2">
                        <a:lumMod val="50000"/>
                      </a:schemeClr>
                    </a:solidFill>
                  </a:rPr>
                  <a:t> value</a:t>
                </a:r>
                <a:r>
                  <a:rPr lang="en-IN" sz="1050" baseline="0">
                    <a:solidFill>
                      <a:schemeClr val="tx2">
                        <a:lumMod val="50000"/>
                      </a:schemeClr>
                    </a:solidFill>
                  </a:rPr>
                  <a:t> in crores</a:t>
                </a:r>
                <a:endParaRPr lang="en-IN" sz="1050">
                  <a:solidFill>
                    <a:schemeClr val="tx2">
                      <a:lumMod val="50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36576"/>
        <c:crosses val="autoZero"/>
        <c:crossBetween val="between"/>
      </c:valAx>
      <c:valAx>
        <c:axId val="20215846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60000"/>
        <c:crosses val="max"/>
        <c:crossBetween val="between"/>
      </c:valAx>
      <c:catAx>
        <c:axId val="2021600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2158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>
          <a:lumMod val="95000"/>
          <a:lumOff val="5000"/>
        </a:schemeClr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all" baseline="0">
                <a:solidFill>
                  <a:sysClr val="windowText" lastClr="000000"/>
                </a:solidFill>
                <a:effectLst/>
              </a:rPr>
              <a:t>Tender ANALYSIS (DOMESTIC)</a:t>
            </a:r>
            <a:r>
              <a:rPr lang="en-IN" sz="1400" b="1" i="0" u="none" strike="noStrike" cap="all" baseline="0">
                <a:solidFill>
                  <a:sysClr val="windowText" lastClr="000000"/>
                </a:solidFill>
              </a:rPr>
              <a:t> 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'tender analysis'!$C$6</c:f>
              <c:strCache>
                <c:ptCount val="1"/>
                <c:pt idx="0">
                  <c:v>No of Bids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C50-434D-A58E-568A851F4A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9C50-434D-A58E-568A851F4A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C50-434D-A58E-568A851F4AE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95BE607-6C6D-40D3-B9DD-C86198219E37}" type="CELLRANGE">
                      <a:rPr lang="en-IN"/>
                      <a:pPr/>
                      <a:t>[CELLRANGE]</a:t>
                    </a:fld>
                    <a:r>
                      <a:rPr lang="en-IN" baseline="0"/>
                      <a:t>
</a:t>
                    </a:r>
                    <a:fld id="{6C32A3E5-03DF-4D0B-BB1E-E4E2C119F1B4}" type="CATEGORYNAME">
                      <a:rPr lang="en-IN" baseline="0"/>
                      <a:pPr/>
                      <a:t>[CATEGORY NAME]</a:t>
                    </a:fld>
                    <a:r>
                      <a:rPr lang="en-IN" baseline="0"/>
                      <a:t>
</a:t>
                    </a:r>
                    <a:fld id="{4D55B881-D5DE-4066-B3FA-F39E932C63F9}" type="PERCENTAGE">
                      <a:rPr lang="en-IN" baseline="0"/>
                      <a:pPr/>
                      <a:t>[PERCENTAGE]</a:t>
                    </a:fld>
                    <a:endParaRPr lang="en-IN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C50-434D-A58E-568A851F4AE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055CCFD-7667-46C0-8CE9-4D4F78AA332B}" type="CELLRANGE">
                      <a:rPr lang="en-IN"/>
                      <a:pPr/>
                      <a:t>[CELLRANGE]</a:t>
                    </a:fld>
                    <a:r>
                      <a:rPr lang="en-IN" baseline="0"/>
                      <a:t>
</a:t>
                    </a:r>
                    <a:fld id="{B3BE4A89-452E-4528-83FC-895653EAA1B2}" type="CATEGORYNAME">
                      <a:rPr lang="en-IN" baseline="0"/>
                      <a:pPr/>
                      <a:t>[CATEGORY NAME]</a:t>
                    </a:fld>
                    <a:r>
                      <a:rPr lang="en-IN" baseline="0"/>
                      <a:t>
</a:t>
                    </a:r>
                    <a:fld id="{D1D5B8E8-E804-4FBE-9B05-B9095D0DFA7C}" type="PERCENTAGE">
                      <a:rPr lang="en-IN" baseline="0"/>
                      <a:pPr/>
                      <a:t>[PERCENTAGE]</a:t>
                    </a:fld>
                    <a:endParaRPr lang="en-IN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C50-434D-A58E-568A851F4AE5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lt1"/>
                        </a:solidFill>
                        <a:latin typeface="Arial Black" panose="020B0A04020102020204" pitchFamily="34" charset="0"/>
                        <a:ea typeface="+mn-ea"/>
                        <a:cs typeface="+mn-cs"/>
                      </a:defRPr>
                    </a:pPr>
                    <a:fld id="{BD8A308F-6805-4E2E-9D7F-785E3AB062C0}" type="CELLRANGE">
                      <a:rPr lang="en-IN"/>
                      <a:pPr>
                        <a:defRPr sz="1100" b="0" i="0" u="none" strike="noStrike" kern="1200" baseline="0">
                          <a:solidFill>
                            <a:schemeClr val="lt1"/>
                          </a:solidFill>
                          <a:latin typeface="Arial Black" panose="020B0A04020102020204" pitchFamily="34" charset="0"/>
                          <a:ea typeface="+mn-ea"/>
                          <a:cs typeface="+mn-cs"/>
                        </a:defRPr>
                      </a:pPr>
                      <a:t>[CELLRANGE]</a:t>
                    </a:fld>
                    <a:r>
                      <a:rPr lang="en-IN" baseline="0"/>
                      <a:t>
</a:t>
                    </a:r>
                    <a:fld id="{495EB43E-C498-405B-8622-E3F6CE8DBA20}" type="CATEGORYNAME">
                      <a:rPr lang="en-IN" baseline="0"/>
                      <a:pPr>
                        <a:defRPr sz="1100" b="0" i="0" u="none" strike="noStrike" kern="1200" baseline="0">
                          <a:solidFill>
                            <a:schemeClr val="lt1"/>
                          </a:solidFill>
                          <a:latin typeface="Arial Black" panose="020B0A04020102020204" pitchFamily="34" charset="0"/>
                          <a:ea typeface="+mn-ea"/>
                          <a:cs typeface="+mn-cs"/>
                        </a:defRPr>
                      </a:pPr>
                      <a:t>[CATEGORY NAME]</a:t>
                    </a:fld>
                    <a:r>
                      <a:rPr lang="en-IN" baseline="0"/>
                      <a:t>
</a:t>
                    </a:r>
                    <a:fld id="{FEDF9590-B5B2-4F50-BFB1-CE13FF94C238}" type="PERCENTAGE">
                      <a:rPr lang="en-IN" baseline="0"/>
                      <a:pPr>
                        <a:defRPr sz="1100" b="0" i="0" u="none" strike="noStrike" kern="1200" baseline="0">
                          <a:solidFill>
                            <a:schemeClr val="lt1"/>
                          </a:solidFill>
                          <a:latin typeface="Arial Black" panose="020B0A04020102020204" pitchFamily="34" charset="0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IN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C50-434D-A58E-568A851F4A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'tender analysis'!$B$7:$B$9</c:f>
              <c:strCache>
                <c:ptCount val="3"/>
                <c:pt idx="0">
                  <c:v>Software </c:v>
                </c:pt>
                <c:pt idx="1">
                  <c:v>Hardware</c:v>
                </c:pt>
                <c:pt idx="2">
                  <c:v>Software and Hardware </c:v>
                </c:pt>
              </c:strCache>
            </c:strRef>
          </c:cat>
          <c:val>
            <c:numRef>
              <c:f>'tender analysis'!$C$7:$C$9</c:f>
              <c:numCache>
                <c:formatCode>General</c:formatCode>
                <c:ptCount val="3"/>
                <c:pt idx="0">
                  <c:v>134</c:v>
                </c:pt>
                <c:pt idx="1">
                  <c:v>249</c:v>
                </c:pt>
                <c:pt idx="2">
                  <c:v>367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'tender analysis'!$C$7:$C$9</c15:f>
                <c15:dlblRangeCache>
                  <c:ptCount val="3"/>
                  <c:pt idx="0">
                    <c:v>134</c:v>
                  </c:pt>
                  <c:pt idx="1">
                    <c:v>249</c:v>
                  </c:pt>
                  <c:pt idx="2">
                    <c:v>367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C50-434D-A58E-568A851F4A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'tender analysis'!$D$6</c:f>
              <c:strCache>
                <c:ptCount val="1"/>
                <c:pt idx="0">
                  <c:v>Value in Rs Crores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CE07-401C-A8D7-6372AFB1B9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E07-401C-A8D7-6372AFB1B9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E07-401C-A8D7-6372AFB1B96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BEE43E5-B0B6-4AF1-9AF0-B8DE3CFAAF9A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43D0FFD-F1CB-4F1A-839A-3C34FA54168D}" type="CATEGORYNAME">
                      <a:rPr lang="en-US"/>
                      <a:pPr/>
                      <a:t>[CATEGORY NAME]</a:t>
                    </a:fld>
                    <a:endParaRPr lang="en-US" baseline="0"/>
                  </a:p>
                  <a:p>
                    <a:fld id="{0D30F965-B746-4BBA-ACA8-6A0364BAF5C1}" type="PERCENTAGE">
                      <a:rPr lang="en-US"/>
                      <a:pPr/>
                      <a:t>[PERCENTAGE]</a:t>
                    </a:fld>
                    <a:endParaRPr lang="en-IN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E07-401C-A8D7-6372AFB1B9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A678EA1-74FF-40BB-9A1A-E0213D33380A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6EB518A-D546-45C8-A90C-F84ECB9A663B}" type="CATEGORYNAME">
                      <a:rPr lang="en-US"/>
                      <a:pPr/>
                      <a:t>[CATEGORY NAME]</a:t>
                    </a:fld>
                    <a:endParaRPr lang="en-US" baseline="0"/>
                  </a:p>
                  <a:p>
                    <a:fld id="{21456251-75CC-4C9C-9B13-D4EC18BC1D6E}" type="PERCENTAGE">
                      <a:rPr lang="en-US"/>
                      <a:pPr/>
                      <a:t>[PERCENTAGE]</a:t>
                    </a:fld>
                    <a:endParaRPr lang="en-IN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E07-401C-A8D7-6372AFB1B96C}"/>
                </c:ext>
              </c:extLst>
            </c:dLbl>
            <c:dLbl>
              <c:idx val="2"/>
              <c:layout>
                <c:manualLayout>
                  <c:x val="-9.0712745037504639E-3"/>
                  <c:y val="-2.906575344764857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5E06136-D591-40F5-A79A-15A7DE21D20E}" type="CELLRANGE">
                      <a:rPr lang="en-US" sz="1100"/>
                      <a:pPr>
                        <a:defRPr sz="11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 sz="1100" baseline="0"/>
                  </a:p>
                  <a:p>
                    <a:pPr>
                      <a:defRPr sz="11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4A7650A-7047-4FD2-815F-D0B01F5E3247}" type="CATEGORYNAME">
                      <a:rPr lang="en-US" sz="1100"/>
                      <a:pPr>
                        <a:defRPr sz="11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[CATEGORY NAME]</a:t>
                    </a:fld>
                    <a:endParaRPr lang="en-US" sz="1100" baseline="0"/>
                  </a:p>
                  <a:p>
                    <a:pPr>
                      <a:defRPr sz="11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468EB79-DC91-4F17-892D-5EE6079B5B1E}" type="PERCENTAGE">
                      <a:rPr lang="en-US" sz="1100"/>
                      <a:pPr>
                        <a:defRPr sz="11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4948460399164648"/>
                      <c:h val="0.2646761075692257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E07-401C-A8D7-6372AFB1B9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'tender analysis'!$B$7:$B$9</c:f>
              <c:strCache>
                <c:ptCount val="3"/>
                <c:pt idx="0">
                  <c:v>Software </c:v>
                </c:pt>
                <c:pt idx="1">
                  <c:v>Hardware</c:v>
                </c:pt>
                <c:pt idx="2">
                  <c:v>Software and Hardware </c:v>
                </c:pt>
              </c:strCache>
            </c:strRef>
          </c:cat>
          <c:val>
            <c:numRef>
              <c:f>'tender analysis'!$D$7:$D$9</c:f>
              <c:numCache>
                <c:formatCode>#,##0</c:formatCode>
                <c:ptCount val="3"/>
                <c:pt idx="0">
                  <c:v>5144</c:v>
                </c:pt>
                <c:pt idx="1">
                  <c:v>10715</c:v>
                </c:pt>
                <c:pt idx="2">
                  <c:v>30949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'tender analysis'!$D$7:$D$9</c15:f>
                <c15:dlblRangeCache>
                  <c:ptCount val="3"/>
                  <c:pt idx="0">
                    <c:v>5,144</c:v>
                  </c:pt>
                  <c:pt idx="1">
                    <c:v>10,715</c:v>
                  </c:pt>
                  <c:pt idx="2">
                    <c:v>30,949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E07-401C-A8D7-6372AFB1B96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'tender analysis'!$C$6</c:f>
              <c:strCache>
                <c:ptCount val="1"/>
                <c:pt idx="0">
                  <c:v>No of Bids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502-4BE2-A304-A2148AE40D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502-4BE2-A304-A2148AE40D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502-4BE2-A304-A2148AE40D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'tender analysis'!$C$7:$C$9</c:f>
              <c:numCache>
                <c:formatCode>General</c:formatCode>
                <c:ptCount val="3"/>
                <c:pt idx="0">
                  <c:v>134</c:v>
                </c:pt>
                <c:pt idx="1">
                  <c:v>249</c:v>
                </c:pt>
                <c:pt idx="2">
                  <c:v>367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6E8-488B-9868-45A1C0DC93DE}"/>
            </c:ext>
          </c:extLst>
        </c:ser>
        <c:ser>
          <c:idx val="1"/>
          <c:order val="1"/>
          <c:tx>
            <c:strRef>
              <c:f>'tender analysis'!$D$6</c:f>
              <c:strCache>
                <c:ptCount val="1"/>
                <c:pt idx="0">
                  <c:v>Value in Rs Crores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7502-4BE2-A304-A2148AE40D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7502-4BE2-A304-A2148AE40D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7502-4BE2-A304-A2148AE40D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'tender analysis'!$D$7:$D$9</c:f>
              <c:numCache>
                <c:formatCode>#,##0</c:formatCode>
                <c:ptCount val="3"/>
                <c:pt idx="0">
                  <c:v>5144</c:v>
                </c:pt>
                <c:pt idx="1">
                  <c:v>10715</c:v>
                </c:pt>
                <c:pt idx="2">
                  <c:v>30949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6E8-488B-9868-45A1C0DC9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effectLst/>
              </a:rPr>
              <a:t>Live Tenders</a:t>
            </a:r>
            <a:r>
              <a:rPr lang="en-IN" sz="1800" b="1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50"/>
      <c:rotY val="0"/>
      <c:depthPercent val="100"/>
      <c:rAngAx val="0"/>
      <c:perspective val="3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'live tenders'!$C$8</c:f>
              <c:strCache>
                <c:ptCount val="1"/>
                <c:pt idx="0">
                  <c:v>No of Bids</c:v>
                </c:pt>
              </c:strCache>
            </c:strRef>
          </c:tx>
          <c:dPt>
            <c:idx val="0"/>
            <c:bubble3D val="0"/>
            <c:explosion val="5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F54-43CF-947E-BF449B087838}"/>
              </c:ext>
            </c:extLst>
          </c:dPt>
          <c:dPt>
            <c:idx val="1"/>
            <c:bubble3D val="0"/>
            <c:explosion val="5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F54-43CF-947E-BF449B087838}"/>
              </c:ext>
            </c:extLst>
          </c:dPt>
          <c:dPt>
            <c:idx val="2"/>
            <c:bubble3D val="0"/>
            <c:explosion val="5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BF54-43CF-947E-BF449B087838}"/>
              </c:ext>
            </c:extLst>
          </c:dPt>
          <c:dLbls>
            <c:dLbl>
              <c:idx val="0"/>
              <c:layout>
                <c:manualLayout>
                  <c:x val="2.7777777777777676E-2"/>
                  <c:y val="-1.331668223774786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54-43CF-947E-BF449B087838}"/>
                </c:ext>
              </c:extLst>
            </c:dLbl>
            <c:dLbl>
              <c:idx val="2"/>
              <c:layout>
                <c:manualLayout>
                  <c:x val="4.9474335188620907E-3"/>
                  <c:y val="-0.2203320901596055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54-43CF-947E-BF449B08783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'live tenders'!$B$9:$B$11</c:f>
              <c:strCache>
                <c:ptCount val="3"/>
                <c:pt idx="0">
                  <c:v>Software </c:v>
                </c:pt>
                <c:pt idx="1">
                  <c:v>Hardware</c:v>
                </c:pt>
                <c:pt idx="2">
                  <c:v>Software and Hardware </c:v>
                </c:pt>
              </c:strCache>
            </c:strRef>
          </c:cat>
          <c:val>
            <c:numRef>
              <c:f>'live tenders'!$C$9:$C$11</c:f>
              <c:numCache>
                <c:formatCode>General</c:formatCode>
                <c:ptCount val="3"/>
                <c:pt idx="0">
                  <c:v>18</c:v>
                </c:pt>
                <c:pt idx="1">
                  <c:v>8</c:v>
                </c:pt>
                <c:pt idx="2">
                  <c:v>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F54-43CF-947E-BF449B087838}"/>
            </c:ext>
          </c:extLst>
        </c:ser>
        <c:ser>
          <c:idx val="1"/>
          <c:order val="1"/>
          <c:tx>
            <c:strRef>
              <c:f>'live tenders'!$D$8</c:f>
              <c:strCache>
                <c:ptCount val="1"/>
                <c:pt idx="0">
                  <c:v>Value in Rs Crores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CBD-42EA-B4E8-A3882D175F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CBD-42EA-B4E8-A3882D175F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CBD-42EA-B4E8-A3882D175FB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'live tenders'!$B$9:$B$11</c:f>
              <c:strCache>
                <c:ptCount val="3"/>
                <c:pt idx="0">
                  <c:v>Software </c:v>
                </c:pt>
                <c:pt idx="1">
                  <c:v>Hardware</c:v>
                </c:pt>
                <c:pt idx="2">
                  <c:v>Software and Hardware </c:v>
                </c:pt>
              </c:strCache>
            </c:strRef>
          </c:cat>
          <c:val>
            <c:numRef>
              <c:f>'live tenders'!$D$9:$D$11</c:f>
              <c:numCache>
                <c:formatCode>General</c:formatCode>
                <c:ptCount val="3"/>
                <c:pt idx="0" formatCode="#,##0">
                  <c:v>1228</c:v>
                </c:pt>
                <c:pt idx="1">
                  <c:v>756</c:v>
                </c:pt>
                <c:pt idx="2" formatCode="#,##0">
                  <c:v>2294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F54-43CF-947E-BF449B08783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28575" cap="flat" cmpd="sng" algn="ctr">
      <a:solidFill>
        <a:schemeClr val="tx1">
          <a:lumMod val="95000"/>
          <a:lumOff val="5000"/>
        </a:schemeClr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all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</a:rPr>
              <a:t>Domain Wise Breakup</a:t>
            </a:r>
            <a:r>
              <a:rPr lang="en-IN" sz="1400" b="1" i="0" u="none" strike="noStrike" cap="all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</a:t>
            </a:r>
            <a:endParaRPr lang="en-IN" sz="1400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'live tenders'!$C$27</c:f>
              <c:strCache>
                <c:ptCount val="1"/>
                <c:pt idx="0">
                  <c:v>No of Bids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'live tenders'!$B$28:$B$35</c:f>
              <c:strCache>
                <c:ptCount val="8"/>
                <c:pt idx="0">
                  <c:v>AI/ML</c:v>
                </c:pt>
                <c:pt idx="1">
                  <c:v>App Development</c:v>
                </c:pt>
                <c:pt idx="2">
                  <c:v>BFSI</c:v>
                </c:pt>
                <c:pt idx="3">
                  <c:v>Cyber Security</c:v>
                </c:pt>
                <c:pt idx="4">
                  <c:v>ERP</c:v>
                </c:pt>
                <c:pt idx="5">
                  <c:v>Health</c:v>
                </c:pt>
                <c:pt idx="6">
                  <c:v>O&amp;M (COTS)</c:v>
                </c:pt>
                <c:pt idx="7">
                  <c:v>Power</c:v>
                </c:pt>
              </c:strCache>
            </c:strRef>
          </c:cat>
          <c:val>
            <c:numRef>
              <c:f>'live tenders'!$C$28:$C$35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B8-41D1-A98E-2C7301F34DDD}"/>
            </c:ext>
          </c:extLst>
        </c:ser>
        <c:ser>
          <c:idx val="1"/>
          <c:order val="1"/>
          <c:tx>
            <c:strRef>
              <c:f>'live tenders'!$D$27</c:f>
              <c:strCache>
                <c:ptCount val="1"/>
                <c:pt idx="0">
                  <c:v>Value in Rs Crores</c:v>
                </c:pt>
              </c:strCache>
            </c:strRef>
          </c:tx>
          <c:spPr>
            <a:gradFill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'live tenders'!$B$28:$B$35</c:f>
              <c:strCache>
                <c:ptCount val="8"/>
                <c:pt idx="0">
                  <c:v>AI/ML</c:v>
                </c:pt>
                <c:pt idx="1">
                  <c:v>App Development</c:v>
                </c:pt>
                <c:pt idx="2">
                  <c:v>BFSI</c:v>
                </c:pt>
                <c:pt idx="3">
                  <c:v>Cyber Security</c:v>
                </c:pt>
                <c:pt idx="4">
                  <c:v>ERP</c:v>
                </c:pt>
                <c:pt idx="5">
                  <c:v>Health</c:v>
                </c:pt>
                <c:pt idx="6">
                  <c:v>O&amp;M (COTS)</c:v>
                </c:pt>
                <c:pt idx="7">
                  <c:v>Power</c:v>
                </c:pt>
              </c:strCache>
            </c:strRef>
          </c:cat>
          <c:val>
            <c:numRef>
              <c:f>'live tenders'!$D$28:$D$35</c:f>
              <c:numCache>
                <c:formatCode>General</c:formatCode>
                <c:ptCount val="8"/>
                <c:pt idx="0">
                  <c:v>112</c:v>
                </c:pt>
                <c:pt idx="1">
                  <c:v>89</c:v>
                </c:pt>
                <c:pt idx="2">
                  <c:v>50</c:v>
                </c:pt>
                <c:pt idx="3">
                  <c:v>426</c:v>
                </c:pt>
                <c:pt idx="4">
                  <c:v>404</c:v>
                </c:pt>
                <c:pt idx="5">
                  <c:v>35</c:v>
                </c:pt>
                <c:pt idx="6">
                  <c:v>92</c:v>
                </c:pt>
                <c:pt idx="7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7B8-41D1-A98E-2C7301F34D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202499200"/>
        <c:axId val="202501120"/>
        <c:axId val="0"/>
      </c:bar3DChart>
      <c:catAx>
        <c:axId val="202499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SW</a:t>
                </a:r>
                <a:r>
                  <a:rPr lang="en-IN" baseline="0"/>
                  <a:t> domain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01120"/>
        <c:crosses val="autoZero"/>
        <c:auto val="1"/>
        <c:lblAlgn val="ctr"/>
        <c:lblOffset val="100"/>
        <c:noMultiLvlLbl val="0"/>
      </c:catAx>
      <c:valAx>
        <c:axId val="20250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value</a:t>
                </a:r>
                <a:r>
                  <a:rPr lang="en-IN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in crores</a:t>
                </a:r>
                <a:endParaRPr lang="en-IN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9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>
          <a:lumMod val="85000"/>
          <a:lumOff val="15000"/>
        </a:schemeClr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cap="all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</a:rPr>
              <a:t>Domain Wise Breakup </a:t>
            </a:r>
            <a:endParaRPr lang="en-IN">
              <a:solidFill>
                <a:schemeClr val="tx1">
                  <a:lumMod val="95000"/>
                  <a:lumOff val="5000"/>
                </a:schemeClr>
              </a:solidFill>
              <a:effectLst/>
            </a:endParaRPr>
          </a:p>
        </c:rich>
      </c:tx>
      <c:layout>
        <c:manualLayout>
          <c:xMode val="edge"/>
          <c:yMode val="edge"/>
          <c:x val="0.14781959750884927"/>
          <c:y val="2.4729516852743841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  <c:perspective val="3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'live tenders'!$C$27</c:f>
              <c:strCache>
                <c:ptCount val="1"/>
                <c:pt idx="0">
                  <c:v>No of Bids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A24-4289-98AE-2B9FBEA3A0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4A24-4289-98AE-2B9FBEA3A0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A24-4289-98AE-2B9FBEA3A0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4A24-4289-98AE-2B9FBEA3A0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4A24-4289-98AE-2B9FBEA3A08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A24-4289-98AE-2B9FBEA3A08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4A24-4289-98AE-2B9FBEA3A08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A24-4289-98AE-2B9FBEA3A08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4A24-4289-98AE-2B9FBEA3A080}"/>
              </c:ext>
            </c:extLst>
          </c:dPt>
          <c:dLbls>
            <c:dLbl>
              <c:idx val="0"/>
              <c:layout>
                <c:manualLayout>
                  <c:x val="2.0497055202604512E-3"/>
                  <c:y val="-3.709427527911576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4677B9C-FF44-49FB-95F0-4FEFF7729EDD}" type="CELLRANGE">
                      <a:rPr lang="en-US"/>
                      <a:pPr>
                        <a:defRPr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4273430-71A5-4FDA-8F75-20A027CA4588}" type="CATEGORYNAME">
                      <a:rPr lang="en-US"/>
                      <a:pPr>
                        <a:defRPr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[CATEGORY NAME]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estFit"/>
              <c:showLegendKey val="1"/>
              <c:showVal val="0"/>
              <c:showCatName val="1"/>
              <c:showSerName val="0"/>
              <c:showPercent val="0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A24-4289-98AE-2B9FBEA3A080}"/>
                </c:ext>
              </c:extLst>
            </c:dLbl>
            <c:dLbl>
              <c:idx val="1"/>
              <c:layout>
                <c:manualLayout>
                  <c:x val="8.1988220810418812E-3"/>
                  <c:y val="-5.77022059897356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3DC18FA-2120-4E41-9C72-4CEEEF43759D}" type="CELLRANGE">
                      <a:rPr lang="en-US"/>
                      <a:pPr>
                        <a:defRPr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FBF8849-F41C-40F2-B28D-8792938A45A2}" type="CATEGORYNAME">
                      <a:rPr lang="en-US"/>
                      <a:pPr>
                        <a:defRPr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[CATEGORY NAME]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estFit"/>
              <c:showLegendKey val="1"/>
              <c:showVal val="0"/>
              <c:showCatName val="1"/>
              <c:showSerName val="0"/>
              <c:showPercent val="0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A24-4289-98AE-2B9FBEA3A080}"/>
                </c:ext>
              </c:extLst>
            </c:dLbl>
            <c:dLbl>
              <c:idx val="2"/>
              <c:layout>
                <c:manualLayout>
                  <c:x val="4.0994110405209025E-3"/>
                  <c:y val="1.23647584263719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DE330DB-5F4C-4BB1-B8EB-ED25A413E626}" type="CELLRANGE">
                      <a:rPr lang="en-US"/>
                      <a:pPr>
                        <a:defRPr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DC4CFCE-D92B-462C-AB24-EAF9ACB1DEB4}" type="CATEGORYNAME">
                      <a:rPr lang="en-US"/>
                      <a:pPr>
                        <a:defRPr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[CATEGORY NAME]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estFit"/>
              <c:showLegendKey val="1"/>
              <c:showVal val="0"/>
              <c:showCatName val="1"/>
              <c:showSerName val="0"/>
              <c:showPercent val="0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A24-4289-98AE-2B9FBEA3A080}"/>
                </c:ext>
              </c:extLst>
            </c:dLbl>
            <c:dLbl>
              <c:idx val="3"/>
              <c:layout>
                <c:manualLayout>
                  <c:x val="4.3043815925469478E-2"/>
                  <c:y val="2.472951685274384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C5815C5-3769-4952-94E4-312E9DA7FE87}" type="CELLRANGE">
                      <a:rPr lang="en-US"/>
                      <a:pPr>
                        <a:defRPr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1CE347B-18E2-4DB2-A4E0-30A4D3573EA1}" type="CATEGORYNAME">
                      <a:rPr lang="en-US"/>
                      <a:pPr>
                        <a:defRPr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[CATEGORY NAME]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estFit"/>
              <c:showLegendKey val="1"/>
              <c:showVal val="0"/>
              <c:showCatName val="1"/>
              <c:showSerName val="0"/>
              <c:showPercent val="0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A24-4289-98AE-2B9FBEA3A080}"/>
                </c:ext>
              </c:extLst>
            </c:dLbl>
            <c:dLbl>
              <c:idx val="4"/>
              <c:layout>
                <c:manualLayout>
                  <c:x val="2.4596466243125416E-2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501A4D4-43BF-4461-85AA-BE05B218E03D}" type="CELLRANGE">
                      <a:rPr lang="en-US"/>
                      <a:pPr>
                        <a:defRPr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3BAC337-F4F3-4044-A3AF-091FDDD0BAF8}" type="CATEGORYNAME">
                      <a:rPr lang="en-US"/>
                      <a:pPr>
                        <a:defRPr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[CATEGORY NAME]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estFit"/>
              <c:showLegendKey val="1"/>
              <c:showVal val="0"/>
              <c:showCatName val="1"/>
              <c:showSerName val="0"/>
              <c:showPercent val="0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A24-4289-98AE-2B9FBEA3A080}"/>
                </c:ext>
              </c:extLst>
            </c:dLbl>
            <c:dLbl>
              <c:idx val="5"/>
              <c:layout>
                <c:manualLayout>
                  <c:x val="7.5839104249636705E-2"/>
                  <c:y val="-1.5112307942450301E-1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CA70402-C23A-4154-BFA4-D3D57039A246}" type="CELLRANGE">
                      <a:rPr lang="en-US"/>
                      <a:pPr>
                        <a:defRPr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F73CA82-0719-4A8A-B47E-14E00F91E021}" type="CATEGORYNAME">
                      <a:rPr lang="en-US"/>
                      <a:pPr>
                        <a:defRPr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[CATEGORY NAME]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estFit"/>
              <c:showLegendKey val="1"/>
              <c:showVal val="0"/>
              <c:showCatName val="1"/>
              <c:showSerName val="0"/>
              <c:showPercent val="0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A24-4289-98AE-2B9FBEA3A080}"/>
                </c:ext>
              </c:extLst>
            </c:dLbl>
            <c:dLbl>
              <c:idx val="6"/>
              <c:layout>
                <c:manualLayout>
                  <c:x val="-7.5155000879233166E-17"/>
                  <c:y val="1.23647584263719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D30EEBE-688F-41DA-B360-96643F597D6F}" type="CELLRANGE">
                      <a:rPr lang="en-US"/>
                      <a:pPr>
                        <a:defRPr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79CB504-92C1-43AF-A9A9-DB7EC3C0620C}" type="CATEGORYNAME">
                      <a:rPr lang="en-US"/>
                      <a:pPr>
                        <a:defRPr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[CATEGORY NAME]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estFit"/>
              <c:showLegendKey val="1"/>
              <c:showVal val="0"/>
              <c:showCatName val="1"/>
              <c:showSerName val="0"/>
              <c:showPercent val="0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A24-4289-98AE-2B9FBEA3A080}"/>
                </c:ext>
              </c:extLst>
            </c:dLbl>
            <c:dLbl>
              <c:idx val="7"/>
              <c:layout>
                <c:manualLayout>
                  <c:x val="0"/>
                  <c:y val="8.2431722842477954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95A086C-3AC5-4AE3-99CB-1068E84D3D6E}" type="CELLRANGE">
                      <a:rPr lang="en-US"/>
                      <a:pPr>
                        <a:defRPr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093A7B1-2ED9-4C8A-94DA-B5738484CECB}" type="CATEGORYNAME">
                      <a:rPr lang="en-US"/>
                      <a:pPr>
                        <a:defRPr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[CATEGORY NAME]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estFit"/>
              <c:showLegendKey val="1"/>
              <c:showVal val="0"/>
              <c:showCatName val="1"/>
              <c:showSerName val="0"/>
              <c:showPercent val="0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A24-4289-98AE-2B9FBEA3A080}"/>
                </c:ext>
              </c:extLst>
            </c:dLbl>
            <c:dLbl>
              <c:idx val="8"/>
              <c:layout>
                <c:manualLayout>
                  <c:x val="-4.9192932486250854E-2"/>
                  <c:y val="3.221476056090316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24B42AF-1D09-49B7-864C-0F66069A77C5}" type="CELLRANGE">
                      <a:rPr lang="en-US"/>
                      <a:pPr>
                        <a:defRPr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 baseline="0"/>
                  </a:p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5987547-BF7F-4EC8-80C8-0B009AE0DDD7}" type="CATEGORYNAME">
                      <a:rPr lang="en-US"/>
                      <a:pPr>
                        <a:defRPr sz="1000" b="1" i="0" u="none" strike="noStrike" kern="1200" spc="0" baseline="0">
                          <a:solidFill>
                            <a:schemeClr val="accen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[CATEGORY NAME]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estFit"/>
              <c:showLegendKey val="1"/>
              <c:showVal val="0"/>
              <c:showCatName val="1"/>
              <c:showSerName val="0"/>
              <c:showPercent val="0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A24-4289-98AE-2B9FBEA3A08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1"/>
            <c:showVal val="0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'live tenders'!$B$28:$B$36</c:f>
              <c:strCache>
                <c:ptCount val="9"/>
                <c:pt idx="0">
                  <c:v>AI/ML</c:v>
                </c:pt>
                <c:pt idx="1">
                  <c:v>App Development</c:v>
                </c:pt>
                <c:pt idx="2">
                  <c:v>BFSI</c:v>
                </c:pt>
                <c:pt idx="3">
                  <c:v>Cyber Security</c:v>
                </c:pt>
                <c:pt idx="4">
                  <c:v>ERP</c:v>
                </c:pt>
                <c:pt idx="5">
                  <c:v>Health</c:v>
                </c:pt>
                <c:pt idx="6">
                  <c:v>O&amp;M (COTS)</c:v>
                </c:pt>
                <c:pt idx="7">
                  <c:v>Power</c:v>
                </c:pt>
                <c:pt idx="8">
                  <c:v>Total</c:v>
                </c:pt>
              </c:strCache>
            </c:strRef>
          </c:cat>
          <c:val>
            <c:numRef>
              <c:f>'live tenders'!$C$28:$C$36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18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'live tenders'!$D$28:$D$36</c15:f>
                <c15:dlblRangeCache>
                  <c:ptCount val="9"/>
                  <c:pt idx="0">
                    <c:v>112</c:v>
                  </c:pt>
                  <c:pt idx="1">
                    <c:v>89</c:v>
                  </c:pt>
                  <c:pt idx="2">
                    <c:v>50</c:v>
                  </c:pt>
                  <c:pt idx="3">
                    <c:v>426</c:v>
                  </c:pt>
                  <c:pt idx="4">
                    <c:v>404</c:v>
                  </c:pt>
                  <c:pt idx="5">
                    <c:v>35</c:v>
                  </c:pt>
                  <c:pt idx="6">
                    <c:v>92</c:v>
                  </c:pt>
                  <c:pt idx="7">
                    <c:v>20</c:v>
                  </c:pt>
                  <c:pt idx="8">
                    <c:v>1,228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A24-4289-98AE-2B9FBEA3A080}"/>
            </c:ext>
          </c:extLst>
        </c:ser>
        <c:ser>
          <c:idx val="1"/>
          <c:order val="1"/>
          <c:tx>
            <c:strRef>
              <c:f>'live tenders'!$D$27</c:f>
              <c:strCache>
                <c:ptCount val="1"/>
                <c:pt idx="0">
                  <c:v>Value in Rs Crores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A24-4289-98AE-2B9FBEA3A0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4A24-4289-98AE-2B9FBEA3A0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A24-4289-98AE-2B9FBEA3A0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4A24-4289-98AE-2B9FBEA3A0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A24-4289-98AE-2B9FBEA3A08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4A24-4289-98AE-2B9FBEA3A08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A24-4289-98AE-2B9FBEA3A08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4A24-4289-98AE-2B9FBEA3A08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A24-4289-98AE-2B9FBEA3A08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'live tenders'!$B$28:$B$36</c:f>
              <c:strCache>
                <c:ptCount val="9"/>
                <c:pt idx="0">
                  <c:v>AI/ML</c:v>
                </c:pt>
                <c:pt idx="1">
                  <c:v>App Development</c:v>
                </c:pt>
                <c:pt idx="2">
                  <c:v>BFSI</c:v>
                </c:pt>
                <c:pt idx="3">
                  <c:v>Cyber Security</c:v>
                </c:pt>
                <c:pt idx="4">
                  <c:v>ERP</c:v>
                </c:pt>
                <c:pt idx="5">
                  <c:v>Health</c:v>
                </c:pt>
                <c:pt idx="6">
                  <c:v>O&amp;M (COTS)</c:v>
                </c:pt>
                <c:pt idx="7">
                  <c:v>Power</c:v>
                </c:pt>
                <c:pt idx="8">
                  <c:v>Total</c:v>
                </c:pt>
              </c:strCache>
            </c:strRef>
          </c:cat>
          <c:val>
            <c:numRef>
              <c:f>'live tenders'!$D$28:$D$36</c:f>
              <c:numCache>
                <c:formatCode>General</c:formatCode>
                <c:ptCount val="9"/>
                <c:pt idx="0">
                  <c:v>112</c:v>
                </c:pt>
                <c:pt idx="1">
                  <c:v>89</c:v>
                </c:pt>
                <c:pt idx="2">
                  <c:v>50</c:v>
                </c:pt>
                <c:pt idx="3">
                  <c:v>426</c:v>
                </c:pt>
                <c:pt idx="4">
                  <c:v>404</c:v>
                </c:pt>
                <c:pt idx="5">
                  <c:v>35</c:v>
                </c:pt>
                <c:pt idx="6">
                  <c:v>92</c:v>
                </c:pt>
                <c:pt idx="7">
                  <c:v>20</c:v>
                </c:pt>
                <c:pt idx="8" formatCode="#,##0">
                  <c:v>1228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A24-4289-98AE-2B9FBEA3A08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/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>
                    <a:lumMod val="85000"/>
                    <a:lumOff val="15000"/>
                  </a:schemeClr>
                </a:solidFill>
              </a:rPr>
              <a:t>Total  Tenders </a:t>
            </a:r>
            <a:endParaRPr lang="en-US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  <c:perspective val="3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 Export '!$C$6</c:f>
              <c:strCache>
                <c:ptCount val="1"/>
                <c:pt idx="0">
                  <c:v>No of Bids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A182-4E05-B172-25C47885F71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182-4E05-B172-25C47885F71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A182-4E05-B172-25C47885F710}"/>
              </c:ext>
            </c:extLst>
          </c:dPt>
          <c:dLbls>
            <c:dLbl>
              <c:idx val="0"/>
              <c:layout>
                <c:manualLayout>
                  <c:x val="4.7384002986477318E-2"/>
                  <c:y val="-7.007300344050476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82-4E05-B172-25C47885F710}"/>
                </c:ext>
              </c:extLst>
            </c:dLbl>
            <c:dLbl>
              <c:idx val="1"/>
              <c:layout>
                <c:manualLayout>
                  <c:x val="-9.334591983573981E-2"/>
                  <c:y val="1.08401084010840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82-4E05-B172-25C47885F710}"/>
                </c:ext>
              </c:extLst>
            </c:dLbl>
            <c:dLbl>
              <c:idx val="2"/>
              <c:layout>
                <c:manualLayout>
                  <c:x val="-3.5320077775685327E-2"/>
                  <c:y val="-7.94941282746160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82-4E05-B172-25C47885F7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 Export '!$B$7:$B$9</c:f>
              <c:strCache>
                <c:ptCount val="3"/>
                <c:pt idx="0">
                  <c:v>Software </c:v>
                </c:pt>
                <c:pt idx="1">
                  <c:v>Hardware</c:v>
                </c:pt>
                <c:pt idx="2">
                  <c:v>Software and Hardware </c:v>
                </c:pt>
              </c:strCache>
            </c:strRef>
          </c:cat>
          <c:val>
            <c:numRef>
              <c:f>' Export '!$C$7:$C$9</c:f>
              <c:numCache>
                <c:formatCode>General</c:formatCode>
                <c:ptCount val="3"/>
                <c:pt idx="0">
                  <c:v>85</c:v>
                </c:pt>
                <c:pt idx="1">
                  <c:v>28</c:v>
                </c:pt>
                <c:pt idx="2">
                  <c:v>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82-4E05-B172-25C47885F710}"/>
            </c:ext>
          </c:extLst>
        </c:ser>
        <c:ser>
          <c:idx val="1"/>
          <c:order val="1"/>
          <c:tx>
            <c:strRef>
              <c:f>' Export '!$D$6</c:f>
              <c:strCache>
                <c:ptCount val="1"/>
                <c:pt idx="0">
                  <c:v>Value in  Rs Crores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224-4D60-A25B-197EB579083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224-4D60-A25B-197EB579083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224-4D60-A25B-197EB57908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 Export '!$B$7:$B$9</c:f>
              <c:strCache>
                <c:ptCount val="3"/>
                <c:pt idx="0">
                  <c:v>Software </c:v>
                </c:pt>
                <c:pt idx="1">
                  <c:v>Hardware</c:v>
                </c:pt>
                <c:pt idx="2">
                  <c:v>Software and Hardware </c:v>
                </c:pt>
              </c:strCache>
            </c:strRef>
          </c:cat>
          <c:val>
            <c:numRef>
              <c:f>' Export '!$D$7:$D$9</c:f>
              <c:numCache>
                <c:formatCode>#,##0</c:formatCode>
                <c:ptCount val="3"/>
                <c:pt idx="0">
                  <c:v>4803</c:v>
                </c:pt>
                <c:pt idx="1">
                  <c:v>3090</c:v>
                </c:pt>
                <c:pt idx="2">
                  <c:v>4593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182-4E05-B172-25C47885F7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>
          <a:lumMod val="95000"/>
          <a:lumOff val="5000"/>
        </a:schemeClr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</a:rPr>
              <a:t>Domain Wise Breakup</a:t>
            </a:r>
            <a:r>
              <a:rPr lang="en-IN" sz="14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</a:t>
            </a:r>
            <a:endParaRPr lang="en-IN" sz="1400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  <c:perspective val="3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 Export '!$C$24</c:f>
              <c:strCache>
                <c:ptCount val="1"/>
                <c:pt idx="0">
                  <c:v>No of Bids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264-4263-A011-DD4F585F251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264-4263-A011-DD4F585F251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264-4263-A011-DD4F585F251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1E43-4A43-A073-BE712BBDE53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264-4263-A011-DD4F585F251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264-4263-A011-DD4F585F251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2264-4263-A011-DD4F585F251E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2264-4263-A011-DD4F585F251E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2264-4263-A011-DD4F585F251E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2264-4263-A011-DD4F585F251E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2264-4263-A011-DD4F585F251E}"/>
              </c:ext>
            </c:extLst>
          </c:dPt>
          <c:dLbls>
            <c:dLbl>
              <c:idx val="3"/>
              <c:layout>
                <c:manualLayout>
                  <c:x val="3.26844434311611E-2"/>
                  <c:y val="-4.18410041841004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43-4A43-A073-BE712BBDE53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 Export '!$B$25:$B$35</c:f>
              <c:strCache>
                <c:ptCount val="11"/>
                <c:pt idx="0">
                  <c:v>AI/ML</c:v>
                </c:pt>
                <c:pt idx="1">
                  <c:v>App Development</c:v>
                </c:pt>
                <c:pt idx="2">
                  <c:v>BFSI</c:v>
                </c:pt>
                <c:pt idx="3">
                  <c:v>Cloud</c:v>
                </c:pt>
                <c:pt idx="4">
                  <c:v>Cyber Security</c:v>
                </c:pt>
                <c:pt idx="5">
                  <c:v>ERP</c:v>
                </c:pt>
                <c:pt idx="6">
                  <c:v>GIS</c:v>
                </c:pt>
                <c:pt idx="7">
                  <c:v>O&amp;M (App)</c:v>
                </c:pt>
                <c:pt idx="8">
                  <c:v>Procurement</c:v>
                </c:pt>
                <c:pt idx="9">
                  <c:v>Video Analytics</c:v>
                </c:pt>
                <c:pt idx="10">
                  <c:v>Total</c:v>
                </c:pt>
              </c:strCache>
            </c:strRef>
          </c:cat>
          <c:val>
            <c:numRef>
              <c:f>' Export '!$C$25:$C$35</c:f>
              <c:numCache>
                <c:formatCode>General</c:formatCode>
                <c:ptCount val="11"/>
                <c:pt idx="0">
                  <c:v>4</c:v>
                </c:pt>
                <c:pt idx="1">
                  <c:v>35</c:v>
                </c:pt>
                <c:pt idx="2">
                  <c:v>7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4</c:v>
                </c:pt>
                <c:pt idx="7">
                  <c:v>6</c:v>
                </c:pt>
                <c:pt idx="8">
                  <c:v>16</c:v>
                </c:pt>
                <c:pt idx="9">
                  <c:v>2</c:v>
                </c:pt>
                <c:pt idx="10">
                  <c:v>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43-4A43-A073-BE712BBDE536}"/>
            </c:ext>
          </c:extLst>
        </c:ser>
        <c:ser>
          <c:idx val="1"/>
          <c:order val="1"/>
          <c:tx>
            <c:strRef>
              <c:f>' Export '!$D$24</c:f>
              <c:strCache>
                <c:ptCount val="1"/>
                <c:pt idx="0">
                  <c:v>Value in Rs Crores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2264-4263-A011-DD4F585F251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2264-4263-A011-DD4F585F251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2264-4263-A011-DD4F585F251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2264-4263-A011-DD4F585F251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2264-4263-A011-DD4F585F251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2264-4263-A011-DD4F585F251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2264-4263-A011-DD4F585F251E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2264-4263-A011-DD4F585F251E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2264-4263-A011-DD4F585F251E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2264-4263-A011-DD4F585F251E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2264-4263-A011-DD4F585F251E}"/>
              </c:ext>
            </c:extLst>
          </c:dPt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 Export '!$B$25:$B$35</c:f>
              <c:strCache>
                <c:ptCount val="11"/>
                <c:pt idx="0">
                  <c:v>AI/ML</c:v>
                </c:pt>
                <c:pt idx="1">
                  <c:v>App Development</c:v>
                </c:pt>
                <c:pt idx="2">
                  <c:v>BFSI</c:v>
                </c:pt>
                <c:pt idx="3">
                  <c:v>Cloud</c:v>
                </c:pt>
                <c:pt idx="4">
                  <c:v>Cyber Security</c:v>
                </c:pt>
                <c:pt idx="5">
                  <c:v>ERP</c:v>
                </c:pt>
                <c:pt idx="6">
                  <c:v>GIS</c:v>
                </c:pt>
                <c:pt idx="7">
                  <c:v>O&amp;M (App)</c:v>
                </c:pt>
                <c:pt idx="8">
                  <c:v>Procurement</c:v>
                </c:pt>
                <c:pt idx="9">
                  <c:v>Video Analytics</c:v>
                </c:pt>
                <c:pt idx="10">
                  <c:v>Total</c:v>
                </c:pt>
              </c:strCache>
            </c:strRef>
          </c:cat>
          <c:val>
            <c:numRef>
              <c:f>' Export '!$D$25:$D$35</c:f>
              <c:numCache>
                <c:formatCode>#,##0</c:formatCode>
                <c:ptCount val="11"/>
                <c:pt idx="0" formatCode="General">
                  <c:v>227</c:v>
                </c:pt>
                <c:pt idx="1">
                  <c:v>1425</c:v>
                </c:pt>
                <c:pt idx="2" formatCode="General">
                  <c:v>448</c:v>
                </c:pt>
                <c:pt idx="3" formatCode="General">
                  <c:v>439</c:v>
                </c:pt>
                <c:pt idx="4" formatCode="General">
                  <c:v>430</c:v>
                </c:pt>
                <c:pt idx="5" formatCode="General">
                  <c:v>490</c:v>
                </c:pt>
                <c:pt idx="6" formatCode="General">
                  <c:v>597</c:v>
                </c:pt>
                <c:pt idx="7" formatCode="General">
                  <c:v>202</c:v>
                </c:pt>
                <c:pt idx="8" formatCode="General">
                  <c:v>388</c:v>
                </c:pt>
                <c:pt idx="9" formatCode="General">
                  <c:v>157</c:v>
                </c:pt>
                <c:pt idx="10">
                  <c:v>4803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E43-4A43-A073-BE712BBDE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>
          <a:lumMod val="95000"/>
          <a:lumOff val="5000"/>
        </a:schemeClr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baseline="0">
                <a:solidFill>
                  <a:schemeClr val="tx2">
                    <a:lumMod val="50000"/>
                  </a:schemeClr>
                </a:solidFill>
                <a:effectLst/>
              </a:rPr>
              <a:t>Domain Wise Breakup</a:t>
            </a:r>
            <a:r>
              <a:rPr lang="en-IN" sz="1400" b="0" i="0" baseline="0">
                <a:solidFill>
                  <a:schemeClr val="tx2">
                    <a:lumMod val="50000"/>
                  </a:schemeClr>
                </a:solidFill>
                <a:effectLst/>
              </a:rPr>
              <a:t> </a:t>
            </a:r>
            <a:endParaRPr lang="en-IN" sz="1400">
              <a:solidFill>
                <a:schemeClr val="tx2">
                  <a:lumMod val="50000"/>
                </a:scheme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 Export '!$C$24</c:f>
              <c:strCache>
                <c:ptCount val="1"/>
                <c:pt idx="0">
                  <c:v>No of Bids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dLbl>
              <c:idx val="1"/>
              <c:layout>
                <c:manualLayout>
                  <c:x val="0"/>
                  <c:y val="-9.9574651586726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9DA-4C0B-A7DF-0C96897EA0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Export '!$B$25:$B$34</c:f>
              <c:strCache>
                <c:ptCount val="10"/>
                <c:pt idx="0">
                  <c:v>AI/ML</c:v>
                </c:pt>
                <c:pt idx="1">
                  <c:v>App Development</c:v>
                </c:pt>
                <c:pt idx="2">
                  <c:v>BFSI</c:v>
                </c:pt>
                <c:pt idx="3">
                  <c:v>Cloud</c:v>
                </c:pt>
                <c:pt idx="4">
                  <c:v>Cyber Security</c:v>
                </c:pt>
                <c:pt idx="5">
                  <c:v>ERP</c:v>
                </c:pt>
                <c:pt idx="6">
                  <c:v>GIS</c:v>
                </c:pt>
                <c:pt idx="7">
                  <c:v>O&amp;M (App)</c:v>
                </c:pt>
                <c:pt idx="8">
                  <c:v>Procurement</c:v>
                </c:pt>
                <c:pt idx="9">
                  <c:v>Video Analytics</c:v>
                </c:pt>
              </c:strCache>
            </c:strRef>
          </c:cat>
          <c:val>
            <c:numRef>
              <c:f>' Export '!$C$25:$C$34</c:f>
              <c:numCache>
                <c:formatCode>General</c:formatCode>
                <c:ptCount val="10"/>
                <c:pt idx="0">
                  <c:v>4</c:v>
                </c:pt>
                <c:pt idx="1">
                  <c:v>35</c:v>
                </c:pt>
                <c:pt idx="2">
                  <c:v>7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4</c:v>
                </c:pt>
                <c:pt idx="7">
                  <c:v>6</c:v>
                </c:pt>
                <c:pt idx="8">
                  <c:v>16</c:v>
                </c:pt>
                <c:pt idx="9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9DA-4C0B-A7DF-0C96897EA051}"/>
            </c:ext>
          </c:extLst>
        </c:ser>
        <c:ser>
          <c:idx val="1"/>
          <c:order val="1"/>
          <c:tx>
            <c:strRef>
              <c:f>' Export '!$D$24</c:f>
              <c:strCache>
                <c:ptCount val="1"/>
                <c:pt idx="0">
                  <c:v>Value in Rs Crores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Export '!$B$25:$B$34</c:f>
              <c:strCache>
                <c:ptCount val="10"/>
                <c:pt idx="0">
                  <c:v>AI/ML</c:v>
                </c:pt>
                <c:pt idx="1">
                  <c:v>App Development</c:v>
                </c:pt>
                <c:pt idx="2">
                  <c:v>BFSI</c:v>
                </c:pt>
                <c:pt idx="3">
                  <c:v>Cloud</c:v>
                </c:pt>
                <c:pt idx="4">
                  <c:v>Cyber Security</c:v>
                </c:pt>
                <c:pt idx="5">
                  <c:v>ERP</c:v>
                </c:pt>
                <c:pt idx="6">
                  <c:v>GIS</c:v>
                </c:pt>
                <c:pt idx="7">
                  <c:v>O&amp;M (App)</c:v>
                </c:pt>
                <c:pt idx="8">
                  <c:v>Procurement</c:v>
                </c:pt>
                <c:pt idx="9">
                  <c:v>Video Analytics</c:v>
                </c:pt>
              </c:strCache>
            </c:strRef>
          </c:cat>
          <c:val>
            <c:numRef>
              <c:f>' Export '!$D$25:$D$34</c:f>
              <c:numCache>
                <c:formatCode>#,##0</c:formatCode>
                <c:ptCount val="10"/>
                <c:pt idx="0" formatCode="General">
                  <c:v>227</c:v>
                </c:pt>
                <c:pt idx="1">
                  <c:v>1425</c:v>
                </c:pt>
                <c:pt idx="2" formatCode="General">
                  <c:v>448</c:v>
                </c:pt>
                <c:pt idx="3" formatCode="General">
                  <c:v>439</c:v>
                </c:pt>
                <c:pt idx="4" formatCode="General">
                  <c:v>430</c:v>
                </c:pt>
                <c:pt idx="5" formatCode="General">
                  <c:v>490</c:v>
                </c:pt>
                <c:pt idx="6" formatCode="General">
                  <c:v>597</c:v>
                </c:pt>
                <c:pt idx="7" formatCode="General">
                  <c:v>202</c:v>
                </c:pt>
                <c:pt idx="8" formatCode="General">
                  <c:v>388</c:v>
                </c:pt>
                <c:pt idx="9" formatCode="General">
                  <c:v>157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9DA-4C0B-A7DF-0C96897EA0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1583232"/>
        <c:axId val="203109120"/>
        <c:axId val="0"/>
      </c:bar3DChart>
      <c:catAx>
        <c:axId val="20158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2">
                        <a:lumMod val="50000"/>
                      </a:schemeClr>
                    </a:solidFill>
                  </a:rPr>
                  <a:t>SW</a:t>
                </a:r>
                <a:r>
                  <a:rPr lang="en-IN" baseline="0">
                    <a:solidFill>
                      <a:schemeClr val="tx2">
                        <a:lumMod val="50000"/>
                      </a:schemeClr>
                    </a:solidFill>
                  </a:rPr>
                  <a:t> domain</a:t>
                </a:r>
                <a:endParaRPr lang="en-IN">
                  <a:solidFill>
                    <a:schemeClr val="tx2">
                      <a:lumMod val="50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9120"/>
        <c:crosses val="autoZero"/>
        <c:auto val="1"/>
        <c:lblAlgn val="ctr"/>
        <c:lblOffset val="100"/>
        <c:noMultiLvlLbl val="0"/>
      </c:catAx>
      <c:valAx>
        <c:axId val="20310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2">
                        <a:lumMod val="50000"/>
                      </a:schemeClr>
                    </a:solidFill>
                  </a:rPr>
                  <a:t>value</a:t>
                </a:r>
                <a:r>
                  <a:rPr lang="en-IN" baseline="0">
                    <a:solidFill>
                      <a:schemeClr val="tx2">
                        <a:lumMod val="50000"/>
                      </a:schemeClr>
                    </a:solidFill>
                  </a:rPr>
                  <a:t> in crores</a:t>
                </a:r>
                <a:endParaRPr lang="en-IN">
                  <a:solidFill>
                    <a:schemeClr val="tx2">
                      <a:lumMod val="50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5.8413902520316183E-2"/>
              <c:y val="0.300608424642766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8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/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>
                    <a:lumMod val="85000"/>
                    <a:lumOff val="15000"/>
                  </a:schemeClr>
                </a:solidFill>
                <a:effectLst/>
              </a:rPr>
              <a:t>Domain Wise Breakup</a:t>
            </a:r>
            <a:r>
              <a:rPr lang="en-IN" sz="1400" b="0" i="0" u="none" strike="noStrike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</a:t>
            </a:r>
            <a:endParaRPr lang="en-IN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'export(march 2024)'!$C$20</c:f>
              <c:strCache>
                <c:ptCount val="1"/>
                <c:pt idx="0">
                  <c:v>No of Bids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'export(march 2024)'!$B$21:$B$24</c:f>
              <c:strCache>
                <c:ptCount val="4"/>
                <c:pt idx="0">
                  <c:v>AI/ML</c:v>
                </c:pt>
                <c:pt idx="1">
                  <c:v>App Development</c:v>
                </c:pt>
                <c:pt idx="2">
                  <c:v>Cyber Security</c:v>
                </c:pt>
                <c:pt idx="3">
                  <c:v>ERP</c:v>
                </c:pt>
              </c:strCache>
            </c:strRef>
          </c:cat>
          <c:val>
            <c:numRef>
              <c:f>'export(march 2024)'!$C$21:$C$24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EB-4CB9-AFEE-815BE0628561}"/>
            </c:ext>
          </c:extLst>
        </c:ser>
        <c:ser>
          <c:idx val="1"/>
          <c:order val="1"/>
          <c:tx>
            <c:strRef>
              <c:f>'export(march 2024)'!$D$20</c:f>
              <c:strCache>
                <c:ptCount val="1"/>
                <c:pt idx="0">
                  <c:v>Value in Rs Crores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'export(march 2024)'!$B$21:$B$24</c:f>
              <c:strCache>
                <c:ptCount val="4"/>
                <c:pt idx="0">
                  <c:v>AI/ML</c:v>
                </c:pt>
                <c:pt idx="1">
                  <c:v>App Development</c:v>
                </c:pt>
                <c:pt idx="2">
                  <c:v>Cyber Security</c:v>
                </c:pt>
                <c:pt idx="3">
                  <c:v>ERP</c:v>
                </c:pt>
              </c:strCache>
            </c:strRef>
          </c:cat>
          <c:val>
            <c:numRef>
              <c:f>'export(march 2024)'!$D$21:$D$24</c:f>
              <c:numCache>
                <c:formatCode>General</c:formatCode>
                <c:ptCount val="4"/>
                <c:pt idx="0">
                  <c:v>240</c:v>
                </c:pt>
                <c:pt idx="1">
                  <c:v>18</c:v>
                </c:pt>
                <c:pt idx="2">
                  <c:v>78</c:v>
                </c:pt>
                <c:pt idx="3">
                  <c:v>110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3EB-4CB9-AFEE-815BE06285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3158272"/>
        <c:axId val="203160192"/>
        <c:axId val="0"/>
      </c:bar3DChart>
      <c:catAx>
        <c:axId val="203158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SW</a:t>
                </a:r>
                <a:r>
                  <a:rPr lang="en-IN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 domain</a:t>
                </a:r>
                <a:endParaRPr lang="en-IN">
                  <a:solidFill>
                    <a:schemeClr val="tx1">
                      <a:lumMod val="85000"/>
                      <a:lumOff val="1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60192"/>
        <c:crosses val="autoZero"/>
        <c:auto val="1"/>
        <c:lblAlgn val="ctr"/>
        <c:lblOffset val="100"/>
        <c:noMultiLvlLbl val="0"/>
      </c:catAx>
      <c:valAx>
        <c:axId val="20316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value</a:t>
                </a:r>
                <a:r>
                  <a:rPr lang="en-IN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 in croes</a:t>
                </a:r>
                <a:endParaRPr lang="en-IN">
                  <a:solidFill>
                    <a:schemeClr val="tx1">
                      <a:lumMod val="85000"/>
                      <a:lumOff val="1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>
          <a:lumMod val="85000"/>
          <a:lumOff val="15000"/>
        </a:schemeClr>
      </a:solidFill>
      <a:prstDash val="lg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chemeClr val="tx1">
                    <a:lumMod val="85000"/>
                    <a:lumOff val="15000"/>
                  </a:schemeClr>
                </a:solidFill>
                <a:effectLst/>
              </a:rPr>
              <a:t>Domain Wise Breakup</a:t>
            </a:r>
            <a:r>
              <a:rPr lang="en-IN" sz="1800" b="1" i="0" u="none" strike="noStrike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</a:t>
            </a:r>
            <a:endParaRPr lang="en-US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50"/>
      <c:rotY val="0"/>
      <c:depthPercent val="100"/>
      <c:rAngAx val="0"/>
      <c:perspective val="3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'export(march 2024)'!$C$20</c:f>
              <c:strCache>
                <c:ptCount val="1"/>
                <c:pt idx="0">
                  <c:v>No of Bids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457-485C-BE7E-3689B70F0C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457-485C-BE7E-3689B70F0C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457-485C-BE7E-3689B70F0C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457-485C-BE7E-3689B70F0C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457-485C-BE7E-3689B70F0C4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'export(march 2024)'!$B$21:$B$25</c:f>
              <c:strCache>
                <c:ptCount val="5"/>
                <c:pt idx="0">
                  <c:v>AI/ML</c:v>
                </c:pt>
                <c:pt idx="1">
                  <c:v>App Development</c:v>
                </c:pt>
                <c:pt idx="2">
                  <c:v>Cyber Security</c:v>
                </c:pt>
                <c:pt idx="3">
                  <c:v>ERP</c:v>
                </c:pt>
                <c:pt idx="4">
                  <c:v>Total</c:v>
                </c:pt>
              </c:strCache>
            </c:strRef>
          </c:cat>
          <c:val>
            <c:numRef>
              <c:f>'export(march 2024)'!$C$21:$C$25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40-4678-BBF1-581005DB34CB}"/>
            </c:ext>
          </c:extLst>
        </c:ser>
        <c:ser>
          <c:idx val="1"/>
          <c:order val="1"/>
          <c:tx>
            <c:strRef>
              <c:f>'export(march 2024)'!$D$20</c:f>
              <c:strCache>
                <c:ptCount val="1"/>
                <c:pt idx="0">
                  <c:v>Value in Rs Crores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457-485C-BE7E-3689B70F0C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F457-485C-BE7E-3689B70F0C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F457-485C-BE7E-3689B70F0C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F457-485C-BE7E-3689B70F0C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F457-485C-BE7E-3689B70F0C4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'export(march 2024)'!$B$21:$B$25</c:f>
              <c:strCache>
                <c:ptCount val="5"/>
                <c:pt idx="0">
                  <c:v>AI/ML</c:v>
                </c:pt>
                <c:pt idx="1">
                  <c:v>App Development</c:v>
                </c:pt>
                <c:pt idx="2">
                  <c:v>Cyber Security</c:v>
                </c:pt>
                <c:pt idx="3">
                  <c:v>ERP</c:v>
                </c:pt>
                <c:pt idx="4">
                  <c:v>Total</c:v>
                </c:pt>
              </c:strCache>
            </c:strRef>
          </c:cat>
          <c:val>
            <c:numRef>
              <c:f>'export(march 2024)'!$D$21:$D$25</c:f>
              <c:numCache>
                <c:formatCode>General</c:formatCode>
                <c:ptCount val="5"/>
                <c:pt idx="0">
                  <c:v>240</c:v>
                </c:pt>
                <c:pt idx="1">
                  <c:v>18</c:v>
                </c:pt>
                <c:pt idx="2">
                  <c:v>78</c:v>
                </c:pt>
                <c:pt idx="3">
                  <c:v>110</c:v>
                </c:pt>
                <c:pt idx="4">
                  <c:v>446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840-4678-BBF1-581005DB34C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28575" cap="flat" cmpd="sng" algn="ctr">
      <a:solidFill>
        <a:schemeClr val="bg2">
          <a:lumMod val="10000"/>
        </a:schemeClr>
      </a:solidFill>
      <a:prstDash val="lg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'export(march 2024)'!$C$6</c:f>
              <c:strCache>
                <c:ptCount val="1"/>
                <c:pt idx="0">
                  <c:v>No of Bids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828-41E4-8CA3-4E876644E6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828-41E4-8CA3-4E876644E65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828-41E4-8CA3-4E876644E65D}"/>
              </c:ext>
            </c:extLst>
          </c:dPt>
          <c:cat>
            <c:strRef>
              <c:f>'export(march 2024)'!$B$7:$B$9</c:f>
              <c:strCache>
                <c:ptCount val="3"/>
                <c:pt idx="0">
                  <c:v>Software </c:v>
                </c:pt>
                <c:pt idx="1">
                  <c:v>Hardware</c:v>
                </c:pt>
                <c:pt idx="2">
                  <c:v>Software and Hardware </c:v>
                </c:pt>
              </c:strCache>
            </c:strRef>
          </c:cat>
          <c:val>
            <c:numRef>
              <c:f>'export(march 2024)'!$C$7:$C$9</c:f>
              <c:numCache>
                <c:formatCode>General</c:formatCode>
                <c:ptCount val="3"/>
                <c:pt idx="0">
                  <c:v>8</c:v>
                </c:pt>
                <c:pt idx="1">
                  <c:v>0</c:v>
                </c:pt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B3E-491E-BD60-1297BA032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'export(march 2024)'!$D$6</c:f>
              <c:strCache>
                <c:ptCount val="1"/>
                <c:pt idx="0">
                  <c:v>Value in Rs Crores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C5F-4776-867F-C85AFDE226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C5F-4776-867F-C85AFDE226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C5F-4776-867F-C85AFDE226CB}"/>
              </c:ext>
            </c:extLst>
          </c:dPt>
          <c:cat>
            <c:strRef>
              <c:f>'export(march 2024)'!$B$7:$B$9</c:f>
              <c:strCache>
                <c:ptCount val="3"/>
                <c:pt idx="0">
                  <c:v>Software </c:v>
                </c:pt>
                <c:pt idx="1">
                  <c:v>Hardware</c:v>
                </c:pt>
                <c:pt idx="2">
                  <c:v>Software and Hardware </c:v>
                </c:pt>
              </c:strCache>
            </c:strRef>
          </c:cat>
          <c:val>
            <c:numRef>
              <c:f>'export(march 2024)'!$D$7:$D$9</c:f>
              <c:numCache>
                <c:formatCode>General</c:formatCode>
                <c:ptCount val="3"/>
                <c:pt idx="0">
                  <c:v>446</c:v>
                </c:pt>
                <c:pt idx="1">
                  <c:v>0</c:v>
                </c:pt>
                <c:pt idx="2">
                  <c:v>664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CC0-4DE0-8349-B2B7F1271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Acquisitions!$D$3:$D$4</c:f>
              <c:strCache>
                <c:ptCount val="1"/>
                <c:pt idx="0">
                  <c:v>Obtainable by BEL 2025 - 26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Acquisitions!$C$5:$C$16</c:f>
              <c:strCache>
                <c:ptCount val="12"/>
                <c:pt idx="0">
                  <c:v>ERP</c:v>
                </c:pt>
                <c:pt idx="1">
                  <c:v>Digital Identity</c:v>
                </c:pt>
                <c:pt idx="2">
                  <c:v>VMS, VA </c:v>
                </c:pt>
                <c:pt idx="3">
                  <c:v>HMIS</c:v>
                </c:pt>
                <c:pt idx="4">
                  <c:v>AI/ML</c:v>
                </c:pt>
                <c:pt idx="5">
                  <c:v>ICCC</c:v>
                </c:pt>
                <c:pt idx="6">
                  <c:v>NMS</c:v>
                </c:pt>
                <c:pt idx="7">
                  <c:v>Digital Agriculture </c:v>
                </c:pt>
                <c:pt idx="8">
                  <c:v>Simulators </c:v>
                </c:pt>
                <c:pt idx="9">
                  <c:v>Cloud Services</c:v>
                </c:pt>
                <c:pt idx="10">
                  <c:v>BFSI</c:v>
                </c:pt>
                <c:pt idx="11">
                  <c:v>Total</c:v>
                </c:pt>
              </c:strCache>
            </c:strRef>
          </c:cat>
          <c:val>
            <c:numRef>
              <c:f>Acquisitions!$D$5:$D$16</c:f>
              <c:numCache>
                <c:formatCode>General</c:formatCode>
                <c:ptCount val="12"/>
                <c:pt idx="0">
                  <c:v>210</c:v>
                </c:pt>
                <c:pt idx="1">
                  <c:v>25</c:v>
                </c:pt>
                <c:pt idx="2">
                  <c:v>50</c:v>
                </c:pt>
                <c:pt idx="3">
                  <c:v>6</c:v>
                </c:pt>
                <c:pt idx="4">
                  <c:v>62</c:v>
                </c:pt>
                <c:pt idx="5">
                  <c:v>15</c:v>
                </c:pt>
                <c:pt idx="6">
                  <c:v>30</c:v>
                </c:pt>
                <c:pt idx="7">
                  <c:v>50</c:v>
                </c:pt>
                <c:pt idx="8">
                  <c:v>20</c:v>
                </c:pt>
                <c:pt idx="9">
                  <c:v>180</c:v>
                </c:pt>
                <c:pt idx="10">
                  <c:v>360</c:v>
                </c:pt>
                <c:pt idx="11">
                  <c:v>1008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44-4594-B590-958072A765A4}"/>
            </c:ext>
          </c:extLst>
        </c:ser>
        <c:ser>
          <c:idx val="1"/>
          <c:order val="1"/>
          <c:tx>
            <c:strRef>
              <c:f>Acquisitions!$E$3:$E$4</c:f>
              <c:strCache>
                <c:ptCount val="1"/>
                <c:pt idx="0">
                  <c:v>Obtainable by BEL 2026 - 27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Acquisitions!$C$5:$C$16</c:f>
              <c:strCache>
                <c:ptCount val="12"/>
                <c:pt idx="0">
                  <c:v>ERP</c:v>
                </c:pt>
                <c:pt idx="1">
                  <c:v>Digital Identity</c:v>
                </c:pt>
                <c:pt idx="2">
                  <c:v>VMS, VA </c:v>
                </c:pt>
                <c:pt idx="3">
                  <c:v>HMIS</c:v>
                </c:pt>
                <c:pt idx="4">
                  <c:v>AI/ML</c:v>
                </c:pt>
                <c:pt idx="5">
                  <c:v>ICCC</c:v>
                </c:pt>
                <c:pt idx="6">
                  <c:v>NMS</c:v>
                </c:pt>
                <c:pt idx="7">
                  <c:v>Digital Agriculture </c:v>
                </c:pt>
                <c:pt idx="8">
                  <c:v>Simulators </c:v>
                </c:pt>
                <c:pt idx="9">
                  <c:v>Cloud Services</c:v>
                </c:pt>
                <c:pt idx="10">
                  <c:v>BFSI</c:v>
                </c:pt>
                <c:pt idx="11">
                  <c:v>Total</c:v>
                </c:pt>
              </c:strCache>
            </c:strRef>
          </c:cat>
          <c:val>
            <c:numRef>
              <c:f>Acquisitions!$E$5:$E$16</c:f>
              <c:numCache>
                <c:formatCode>General</c:formatCode>
                <c:ptCount val="12"/>
                <c:pt idx="0">
                  <c:v>252</c:v>
                </c:pt>
                <c:pt idx="1">
                  <c:v>30</c:v>
                </c:pt>
                <c:pt idx="2">
                  <c:v>60</c:v>
                </c:pt>
                <c:pt idx="3">
                  <c:v>7.2</c:v>
                </c:pt>
                <c:pt idx="4">
                  <c:v>74.400000000000006</c:v>
                </c:pt>
                <c:pt idx="5">
                  <c:v>18</c:v>
                </c:pt>
                <c:pt idx="6">
                  <c:v>36</c:v>
                </c:pt>
                <c:pt idx="7">
                  <c:v>60</c:v>
                </c:pt>
                <c:pt idx="8">
                  <c:v>24</c:v>
                </c:pt>
                <c:pt idx="9">
                  <c:v>216</c:v>
                </c:pt>
                <c:pt idx="10">
                  <c:v>432</c:v>
                </c:pt>
                <c:pt idx="11">
                  <c:v>1209.5999999999999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44-4594-B590-958072A765A4}"/>
            </c:ext>
          </c:extLst>
        </c:ser>
        <c:ser>
          <c:idx val="2"/>
          <c:order val="2"/>
          <c:tx>
            <c:strRef>
              <c:f>Acquisitions!$F$3:$F$4</c:f>
              <c:strCache>
                <c:ptCount val="1"/>
                <c:pt idx="0">
                  <c:v>Obtainable by BEL 2027 - 28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Acquisitions!$C$5:$C$16</c:f>
              <c:strCache>
                <c:ptCount val="12"/>
                <c:pt idx="0">
                  <c:v>ERP</c:v>
                </c:pt>
                <c:pt idx="1">
                  <c:v>Digital Identity</c:v>
                </c:pt>
                <c:pt idx="2">
                  <c:v>VMS, VA </c:v>
                </c:pt>
                <c:pt idx="3">
                  <c:v>HMIS</c:v>
                </c:pt>
                <c:pt idx="4">
                  <c:v>AI/ML</c:v>
                </c:pt>
                <c:pt idx="5">
                  <c:v>ICCC</c:v>
                </c:pt>
                <c:pt idx="6">
                  <c:v>NMS</c:v>
                </c:pt>
                <c:pt idx="7">
                  <c:v>Digital Agriculture </c:v>
                </c:pt>
                <c:pt idx="8">
                  <c:v>Simulators </c:v>
                </c:pt>
                <c:pt idx="9">
                  <c:v>Cloud Services</c:v>
                </c:pt>
                <c:pt idx="10">
                  <c:v>BFSI</c:v>
                </c:pt>
                <c:pt idx="11">
                  <c:v>Total</c:v>
                </c:pt>
              </c:strCache>
            </c:strRef>
          </c:cat>
          <c:val>
            <c:numRef>
              <c:f>Acquisitions!$F$5:$F$16</c:f>
              <c:numCache>
                <c:formatCode>General</c:formatCode>
                <c:ptCount val="12"/>
                <c:pt idx="0">
                  <c:v>302.39999999999998</c:v>
                </c:pt>
                <c:pt idx="1">
                  <c:v>36</c:v>
                </c:pt>
                <c:pt idx="2">
                  <c:v>72</c:v>
                </c:pt>
                <c:pt idx="3">
                  <c:v>8.64</c:v>
                </c:pt>
                <c:pt idx="4">
                  <c:v>89.28</c:v>
                </c:pt>
                <c:pt idx="5">
                  <c:v>21.6</c:v>
                </c:pt>
                <c:pt idx="6">
                  <c:v>43.2</c:v>
                </c:pt>
                <c:pt idx="7">
                  <c:v>72</c:v>
                </c:pt>
                <c:pt idx="8">
                  <c:v>28.8</c:v>
                </c:pt>
                <c:pt idx="9">
                  <c:v>259.2</c:v>
                </c:pt>
                <c:pt idx="10">
                  <c:v>518.4</c:v>
                </c:pt>
                <c:pt idx="11">
                  <c:v>1451.52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E44-4594-B590-958072A765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3174656"/>
        <c:axId val="203175424"/>
      </c:barChart>
      <c:barChart>
        <c:barDir val="col"/>
        <c:grouping val="clustered"/>
        <c:varyColors val="0"/>
        <c:ser>
          <c:idx val="3"/>
          <c:order val="3"/>
          <c:tx>
            <c:strRef>
              <c:f>Acquisitions!$G$3:$G$4</c:f>
              <c:strCache>
                <c:ptCount val="1"/>
                <c:pt idx="0">
                  <c:v>Obtainable by BEL 2028 - 29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Acquisitions!$C$5:$C$16</c:f>
              <c:strCache>
                <c:ptCount val="12"/>
                <c:pt idx="0">
                  <c:v>ERP</c:v>
                </c:pt>
                <c:pt idx="1">
                  <c:v>Digital Identity</c:v>
                </c:pt>
                <c:pt idx="2">
                  <c:v>VMS, VA </c:v>
                </c:pt>
                <c:pt idx="3">
                  <c:v>HMIS</c:v>
                </c:pt>
                <c:pt idx="4">
                  <c:v>AI/ML</c:v>
                </c:pt>
                <c:pt idx="5">
                  <c:v>ICCC</c:v>
                </c:pt>
                <c:pt idx="6">
                  <c:v>NMS</c:v>
                </c:pt>
                <c:pt idx="7">
                  <c:v>Digital Agriculture </c:v>
                </c:pt>
                <c:pt idx="8">
                  <c:v>Simulators </c:v>
                </c:pt>
                <c:pt idx="9">
                  <c:v>Cloud Services</c:v>
                </c:pt>
                <c:pt idx="10">
                  <c:v>BFSI</c:v>
                </c:pt>
                <c:pt idx="11">
                  <c:v>Total</c:v>
                </c:pt>
              </c:strCache>
            </c:strRef>
          </c:cat>
          <c:val>
            <c:numRef>
              <c:f>Acquisitions!$G$5:$G$16</c:f>
              <c:numCache>
                <c:formatCode>General</c:formatCode>
                <c:ptCount val="12"/>
                <c:pt idx="0">
                  <c:v>362.88</c:v>
                </c:pt>
                <c:pt idx="1">
                  <c:v>43.2</c:v>
                </c:pt>
                <c:pt idx="2">
                  <c:v>86.4</c:v>
                </c:pt>
                <c:pt idx="3">
                  <c:v>10.368</c:v>
                </c:pt>
                <c:pt idx="4">
                  <c:v>107.136</c:v>
                </c:pt>
                <c:pt idx="5">
                  <c:v>25.92</c:v>
                </c:pt>
                <c:pt idx="6">
                  <c:v>51.84</c:v>
                </c:pt>
                <c:pt idx="7">
                  <c:v>86.4</c:v>
                </c:pt>
                <c:pt idx="8">
                  <c:v>34.56</c:v>
                </c:pt>
                <c:pt idx="9">
                  <c:v>311.04000000000002</c:v>
                </c:pt>
                <c:pt idx="10">
                  <c:v>622.08000000000004</c:v>
                </c:pt>
                <c:pt idx="11">
                  <c:v>1741.8240000000001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E44-4594-B590-958072A765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3191040"/>
        <c:axId val="203176960"/>
      </c:barChart>
      <c:lineChart>
        <c:grouping val="standard"/>
        <c:varyColors val="0"/>
        <c:ser>
          <c:idx val="4"/>
          <c:order val="4"/>
          <c:tx>
            <c:strRef>
              <c:f>Acquisitions!$H$3:$H$4</c:f>
              <c:strCache>
                <c:ptCount val="1"/>
                <c:pt idx="0">
                  <c:v>Obtainable by BEL 2029 - 30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Acquisitions!$C$5:$C$16</c:f>
              <c:strCache>
                <c:ptCount val="12"/>
                <c:pt idx="0">
                  <c:v>ERP</c:v>
                </c:pt>
                <c:pt idx="1">
                  <c:v>Digital Identity</c:v>
                </c:pt>
                <c:pt idx="2">
                  <c:v>VMS, VA </c:v>
                </c:pt>
                <c:pt idx="3">
                  <c:v>HMIS</c:v>
                </c:pt>
                <c:pt idx="4">
                  <c:v>AI/ML</c:v>
                </c:pt>
                <c:pt idx="5">
                  <c:v>ICCC</c:v>
                </c:pt>
                <c:pt idx="6">
                  <c:v>NMS</c:v>
                </c:pt>
                <c:pt idx="7">
                  <c:v>Digital Agriculture </c:v>
                </c:pt>
                <c:pt idx="8">
                  <c:v>Simulators </c:v>
                </c:pt>
                <c:pt idx="9">
                  <c:v>Cloud Services</c:v>
                </c:pt>
                <c:pt idx="10">
                  <c:v>BFSI</c:v>
                </c:pt>
                <c:pt idx="11">
                  <c:v>Total</c:v>
                </c:pt>
              </c:strCache>
            </c:strRef>
          </c:cat>
          <c:val>
            <c:numRef>
              <c:f>Acquisitions!$H$5:$H$16</c:f>
              <c:numCache>
                <c:formatCode>General</c:formatCode>
                <c:ptCount val="12"/>
                <c:pt idx="0">
                  <c:v>435.45600000000002</c:v>
                </c:pt>
                <c:pt idx="1">
                  <c:v>51.84</c:v>
                </c:pt>
                <c:pt idx="2">
                  <c:v>103.68</c:v>
                </c:pt>
                <c:pt idx="3">
                  <c:v>12.441599999999999</c:v>
                </c:pt>
                <c:pt idx="4">
                  <c:v>128.56319999999999</c:v>
                </c:pt>
                <c:pt idx="5">
                  <c:v>31.103999999999999</c:v>
                </c:pt>
                <c:pt idx="6">
                  <c:v>62.207999999999998</c:v>
                </c:pt>
                <c:pt idx="7">
                  <c:v>103.68</c:v>
                </c:pt>
                <c:pt idx="8">
                  <c:v>41.472000000000001</c:v>
                </c:pt>
                <c:pt idx="9">
                  <c:v>373.24799999999999</c:v>
                </c:pt>
                <c:pt idx="10">
                  <c:v>746.49599999999998</c:v>
                </c:pt>
                <c:pt idx="11">
                  <c:v>2090.1887999999999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CE44-4594-B590-958072A765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3191040"/>
        <c:axId val="203176960"/>
      </c:lineChart>
      <c:catAx>
        <c:axId val="20317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75424"/>
        <c:crosses val="autoZero"/>
        <c:auto val="1"/>
        <c:lblAlgn val="ctr"/>
        <c:lblOffset val="100"/>
        <c:noMultiLvlLbl val="0"/>
      </c:catAx>
      <c:valAx>
        <c:axId val="20317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74656"/>
        <c:crosses val="autoZero"/>
        <c:crossBetween val="between"/>
      </c:valAx>
      <c:valAx>
        <c:axId val="2031769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1040"/>
        <c:crosses val="max"/>
        <c:crossBetween val="between"/>
      </c:valAx>
      <c:catAx>
        <c:axId val="203191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3176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5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cap="all" baseline="0">
                <a:solidFill>
                  <a:schemeClr val="tx2">
                    <a:lumMod val="50000"/>
                  </a:schemeClr>
                </a:solidFill>
                <a:effectLst/>
              </a:rPr>
              <a:t>Diversification Areas</a:t>
            </a:r>
            <a:r>
              <a:rPr lang="en-IN" sz="1600" b="1" i="0" u="none" strike="noStrike" cap="all" baseline="0">
                <a:solidFill>
                  <a:schemeClr val="tx2">
                    <a:lumMod val="50000"/>
                  </a:schemeClr>
                </a:solidFill>
              </a:rPr>
              <a:t> </a:t>
            </a:r>
            <a:endParaRPr lang="en-IN" sz="1600">
              <a:solidFill>
                <a:schemeClr val="tx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'diversification '!$C$4</c:f>
              <c:strCache>
                <c:ptCount val="1"/>
                <c:pt idx="0">
                  <c:v>Business available 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'diversification '!$B$5:$B$13</c:f>
              <c:strCache>
                <c:ptCount val="9"/>
                <c:pt idx="0">
                  <c:v>ERP</c:v>
                </c:pt>
                <c:pt idx="1">
                  <c:v>Digital Identity</c:v>
                </c:pt>
                <c:pt idx="2">
                  <c:v>VMS, VA </c:v>
                </c:pt>
                <c:pt idx="3">
                  <c:v>HMIS</c:v>
                </c:pt>
                <c:pt idx="4">
                  <c:v>AI/ML</c:v>
                </c:pt>
                <c:pt idx="5">
                  <c:v>ICCC</c:v>
                </c:pt>
                <c:pt idx="6">
                  <c:v>NMS</c:v>
                </c:pt>
                <c:pt idx="7">
                  <c:v>Digital Agriculture </c:v>
                </c:pt>
                <c:pt idx="8">
                  <c:v>Simulators </c:v>
                </c:pt>
              </c:strCache>
            </c:strRef>
          </c:cat>
          <c:val>
            <c:numRef>
              <c:f>'diversification '!$C$5:$C$13</c:f>
              <c:numCache>
                <c:formatCode>General</c:formatCode>
                <c:ptCount val="9"/>
                <c:pt idx="0">
                  <c:v>2100</c:v>
                </c:pt>
                <c:pt idx="1">
                  <c:v>300</c:v>
                </c:pt>
                <c:pt idx="2">
                  <c:v>500</c:v>
                </c:pt>
                <c:pt idx="3">
                  <c:v>60</c:v>
                </c:pt>
                <c:pt idx="4">
                  <c:v>620</c:v>
                </c:pt>
                <c:pt idx="5">
                  <c:v>60</c:v>
                </c:pt>
                <c:pt idx="6">
                  <c:v>150</c:v>
                </c:pt>
                <c:pt idx="7">
                  <c:v>500</c:v>
                </c:pt>
                <c:pt idx="8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37D-4285-9F0F-E3BD337666E6}"/>
            </c:ext>
          </c:extLst>
        </c:ser>
        <c:ser>
          <c:idx val="1"/>
          <c:order val="1"/>
          <c:tx>
            <c:strRef>
              <c:f>'diversification '!$D$4</c:f>
              <c:strCache>
                <c:ptCount val="1"/>
                <c:pt idx="0">
                  <c:v>Obtainable by BEL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4.954923136061819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7D-4285-9F0F-E3BD337666E6}"/>
                </c:ext>
              </c:extLst>
            </c:dLbl>
            <c:dLbl>
              <c:idx val="1"/>
              <c:layout>
                <c:manualLayout>
                  <c:x val="-3.4476961471123961E-17"/>
                  <c:y val="-2.678571428571428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7D-4285-9F0F-E3BD337666E6}"/>
                </c:ext>
              </c:extLst>
            </c:dLbl>
            <c:dLbl>
              <c:idx val="2"/>
              <c:layout>
                <c:manualLayout>
                  <c:x val="0"/>
                  <c:y val="-1.78571428571429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7D-4285-9F0F-E3BD337666E6}"/>
                </c:ext>
              </c:extLst>
            </c:dLbl>
            <c:dLbl>
              <c:idx val="3"/>
              <c:layout>
                <c:manualLayout>
                  <c:x val="0"/>
                  <c:y val="-2.976190476190487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7D-4285-9F0F-E3BD337666E6}"/>
                </c:ext>
              </c:extLst>
            </c:dLbl>
            <c:dLbl>
              <c:idx val="4"/>
              <c:layout>
                <c:manualLayout>
                  <c:x val="-6.8953922942247922E-17"/>
                  <c:y val="-2.678571428571439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7D-4285-9F0F-E3BD337666E6}"/>
                </c:ext>
              </c:extLst>
            </c:dLbl>
            <c:dLbl>
              <c:idx val="5"/>
              <c:layout>
                <c:manualLayout>
                  <c:x val="0"/>
                  <c:y val="-2.678571428571439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7D-4285-9F0F-E3BD337666E6}"/>
                </c:ext>
              </c:extLst>
            </c:dLbl>
            <c:dLbl>
              <c:idx val="6"/>
              <c:layout>
                <c:manualLayout>
                  <c:x val="0"/>
                  <c:y val="-3.27380952380952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7D-4285-9F0F-E3BD337666E6}"/>
                </c:ext>
              </c:extLst>
            </c:dLbl>
            <c:dLbl>
              <c:idx val="7"/>
              <c:layout>
                <c:manualLayout>
                  <c:x val="-1.3790784588449584E-16"/>
                  <c:y val="-3.273809523809534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7D-4285-9F0F-E3BD337666E6}"/>
                </c:ext>
              </c:extLst>
            </c:dLbl>
            <c:dLbl>
              <c:idx val="8"/>
              <c:layout>
                <c:manualLayout>
                  <c:x val="-1.3790784588449584E-16"/>
                  <c:y val="-3.571428571428571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7D-4285-9F0F-E3BD337666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'diversification '!$B$5:$B$13</c:f>
              <c:strCache>
                <c:ptCount val="9"/>
                <c:pt idx="0">
                  <c:v>ERP</c:v>
                </c:pt>
                <c:pt idx="1">
                  <c:v>Digital Identity</c:v>
                </c:pt>
                <c:pt idx="2">
                  <c:v>VMS, VA </c:v>
                </c:pt>
                <c:pt idx="3">
                  <c:v>HMIS</c:v>
                </c:pt>
                <c:pt idx="4">
                  <c:v>AI/ML</c:v>
                </c:pt>
                <c:pt idx="5">
                  <c:v>ICCC</c:v>
                </c:pt>
                <c:pt idx="6">
                  <c:v>NMS</c:v>
                </c:pt>
                <c:pt idx="7">
                  <c:v>Digital Agriculture </c:v>
                </c:pt>
                <c:pt idx="8">
                  <c:v>Simulators </c:v>
                </c:pt>
              </c:strCache>
            </c:strRef>
          </c:cat>
          <c:val>
            <c:numRef>
              <c:f>'diversification '!$D$5:$D$13</c:f>
              <c:numCache>
                <c:formatCode>General</c:formatCode>
                <c:ptCount val="9"/>
                <c:pt idx="0">
                  <c:v>210</c:v>
                </c:pt>
                <c:pt idx="1">
                  <c:v>25</c:v>
                </c:pt>
                <c:pt idx="2">
                  <c:v>50</c:v>
                </c:pt>
                <c:pt idx="3">
                  <c:v>6</c:v>
                </c:pt>
                <c:pt idx="4">
                  <c:v>62</c:v>
                </c:pt>
                <c:pt idx="5">
                  <c:v>15</c:v>
                </c:pt>
                <c:pt idx="6">
                  <c:v>30</c:v>
                </c:pt>
                <c:pt idx="7">
                  <c:v>50</c:v>
                </c:pt>
                <c:pt idx="8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737D-4285-9F0F-E3BD337666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202648960"/>
        <c:axId val="202651136"/>
      </c:barChart>
      <c:catAx>
        <c:axId val="202648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2">
                        <a:lumMod val="50000"/>
                      </a:schemeClr>
                    </a:solidFill>
                  </a:rPr>
                  <a:t>Sw</a:t>
                </a:r>
                <a:r>
                  <a:rPr lang="en-IN" baseline="0">
                    <a:solidFill>
                      <a:schemeClr val="tx2">
                        <a:lumMod val="50000"/>
                      </a:schemeClr>
                    </a:solidFill>
                  </a:rPr>
                  <a:t> domain</a:t>
                </a:r>
                <a:endParaRPr lang="en-IN">
                  <a:solidFill>
                    <a:schemeClr val="tx2">
                      <a:lumMod val="50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51136"/>
        <c:crosses val="autoZero"/>
        <c:auto val="1"/>
        <c:lblAlgn val="ctr"/>
        <c:lblOffset val="100"/>
        <c:noMultiLvlLbl val="0"/>
      </c:catAx>
      <c:valAx>
        <c:axId val="202651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2">
                        <a:lumMod val="50000"/>
                      </a:schemeClr>
                    </a:solidFill>
                  </a:rPr>
                  <a:t>value</a:t>
                </a:r>
                <a:r>
                  <a:rPr lang="en-IN" baseline="0">
                    <a:solidFill>
                      <a:schemeClr val="tx2">
                        <a:lumMod val="50000"/>
                      </a:schemeClr>
                    </a:solidFill>
                  </a:rPr>
                  <a:t> in crores</a:t>
                </a:r>
                <a:endParaRPr lang="en-IN">
                  <a:solidFill>
                    <a:schemeClr val="tx2">
                      <a:lumMod val="50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4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>
          <a:lumMod val="85000"/>
          <a:lumOff val="15000"/>
        </a:schemeClr>
      </a:solidFill>
      <a:prstDash val="lg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effectLst/>
              </a:rPr>
              <a:t>Domestic Order Acquisition</a:t>
            </a:r>
            <a:r>
              <a:rPr lang="en-IN" sz="1800" b="1" i="0" u="none" strike="noStrike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'Domestic Order'!$B$5</c:f>
              <c:strCache>
                <c:ptCount val="1"/>
                <c:pt idx="0">
                  <c:v>ERP &amp; Health care (TCL, AVNL,UP Metro, IAF, OFBs, State Dept. ERPs)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'Domestic Order'!$C$4:$F$4</c:f>
              <c:strCache>
                <c:ptCount val="4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 </c:v>
                </c:pt>
              </c:strCache>
            </c:strRef>
          </c:cat>
          <c:val>
            <c:numRef>
              <c:f>'Domestic Order'!$C$5:$F$5</c:f>
              <c:numCache>
                <c:formatCode>General</c:formatCode>
                <c:ptCount val="4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  <c:pt idx="3">
                  <c:v>170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308-43C7-A78B-0243F41F2C5F}"/>
            </c:ext>
          </c:extLst>
        </c:ser>
        <c:ser>
          <c:idx val="1"/>
          <c:order val="1"/>
          <c:tx>
            <c:strRef>
              <c:f>'Domestic Order'!$B$6</c:f>
              <c:strCache>
                <c:ptCount val="1"/>
                <c:pt idx="0">
                  <c:v>Digital Agriculture, BlockChain, ONGC (EACS) 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'Domestic Order'!$C$4:$F$4</c:f>
              <c:strCache>
                <c:ptCount val="4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 </c:v>
                </c:pt>
              </c:strCache>
            </c:strRef>
          </c:cat>
          <c:val>
            <c:numRef>
              <c:f>'Domestic Order'!$C$6:$F$6</c:f>
              <c:numCache>
                <c:formatCode>General</c:formatCode>
                <c:ptCount val="4"/>
                <c:pt idx="0">
                  <c:v>0</c:v>
                </c:pt>
                <c:pt idx="1">
                  <c:v>120</c:v>
                </c:pt>
                <c:pt idx="2">
                  <c:v>140</c:v>
                </c:pt>
                <c:pt idx="3">
                  <c:v>150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308-43C7-A78B-0243F41F2C5F}"/>
            </c:ext>
          </c:extLst>
        </c:ser>
        <c:ser>
          <c:idx val="2"/>
          <c:order val="2"/>
          <c:tx>
            <c:strRef>
              <c:f>'Domestic Order'!$B$7</c:f>
              <c:strCache>
                <c:ptCount val="1"/>
                <c:pt idx="0">
                  <c:v>DRDO Projects, (CAIR, ADE, LRDE, DRDL), NSIL(ISRO)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'Domestic Order'!$C$4:$F$4</c:f>
              <c:strCache>
                <c:ptCount val="4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 </c:v>
                </c:pt>
              </c:strCache>
            </c:strRef>
          </c:cat>
          <c:val>
            <c:numRef>
              <c:f>'Domestic Order'!$C$7:$F$7</c:f>
              <c:numCache>
                <c:formatCode>General</c:formatCode>
                <c:ptCount val="4"/>
                <c:pt idx="0">
                  <c:v>20</c:v>
                </c:pt>
                <c:pt idx="1">
                  <c:v>35</c:v>
                </c:pt>
                <c:pt idx="2">
                  <c:v>50</c:v>
                </c:pt>
                <c:pt idx="3">
                  <c:v>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308-43C7-A78B-0243F41F2C5F}"/>
            </c:ext>
          </c:extLst>
        </c:ser>
        <c:ser>
          <c:idx val="3"/>
          <c:order val="3"/>
          <c:tx>
            <c:strRef>
              <c:f>'Domestic Order'!$B$8</c:f>
              <c:strCache>
                <c:ptCount val="1"/>
                <c:pt idx="0">
                  <c:v>MoD Projects (CIDSS, CPSS, AI/ML, Hybrid QA)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'Domestic Order'!$C$4:$F$4</c:f>
              <c:strCache>
                <c:ptCount val="4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 </c:v>
                </c:pt>
              </c:strCache>
            </c:strRef>
          </c:cat>
          <c:val>
            <c:numRef>
              <c:f>'Domestic Order'!$C$8:$F$8</c:f>
              <c:numCache>
                <c:formatCode>General</c:formatCode>
                <c:ptCount val="4"/>
                <c:pt idx="0">
                  <c:v>1100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308-43C7-A78B-0243F41F2C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203318016"/>
        <c:axId val="203319936"/>
        <c:axId val="0"/>
      </c:bar3DChart>
      <c:catAx>
        <c:axId val="203318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19936"/>
        <c:crosses val="autoZero"/>
        <c:auto val="1"/>
        <c:lblAlgn val="ctr"/>
        <c:lblOffset val="100"/>
        <c:noMultiLvlLbl val="0"/>
      </c:catAx>
      <c:valAx>
        <c:axId val="20331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1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28575" cap="flat" cmpd="sng" algn="ctr">
      <a:solidFill>
        <a:schemeClr val="tx1">
          <a:lumMod val="85000"/>
          <a:lumOff val="15000"/>
        </a:schemeClr>
      </a:solidFill>
      <a:prstDash val="lg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Export Order Acquisition </a:t>
            </a:r>
            <a:r>
              <a:rPr lang="en-IN" sz="1400" b="0" i="0" u="none" strike="noStrike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'Export Order Acquisition '!$B$5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'Export Order Acquisition '!$C$4:$H$4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'Export Order Acquisition '!$C$5:$H$5</c:f>
              <c:numCache>
                <c:formatCode>General</c:formatCode>
                <c:ptCount val="6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06A-4FB7-9025-95370EA33D4C}"/>
            </c:ext>
          </c:extLst>
        </c:ser>
        <c:ser>
          <c:idx val="1"/>
          <c:order val="1"/>
          <c:tx>
            <c:strRef>
              <c:f>'Export Order Acquisition '!$B$6</c:f>
              <c:strCache>
                <c:ptCount val="1"/>
                <c:pt idx="0">
                  <c:v>UDI (Unique Digital Identity) – Africa + Latin America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'Export Order Acquisition '!$C$4:$H$4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'Export Order Acquisition '!$C$6:$H$6</c:f>
              <c:numCache>
                <c:formatCode>General</c:formatCode>
                <c:ptCount val="6"/>
                <c:pt idx="0">
                  <c:v>140</c:v>
                </c:pt>
                <c:pt idx="1">
                  <c:v>150</c:v>
                </c:pt>
                <c:pt idx="2">
                  <c:v>170</c:v>
                </c:pt>
                <c:pt idx="3">
                  <c:v>200</c:v>
                </c:pt>
                <c:pt idx="4">
                  <c:v>230</c:v>
                </c:pt>
                <c:pt idx="5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06A-4FB7-9025-95370EA33D4C}"/>
            </c:ext>
          </c:extLst>
        </c:ser>
        <c:ser>
          <c:idx val="2"/>
          <c:order val="2"/>
          <c:tx>
            <c:strRef>
              <c:f>'Export Order Acquisition '!$B$7</c:f>
              <c:strCache>
                <c:ptCount val="1"/>
                <c:pt idx="0">
                  <c:v>PAT (OMAN), Simulators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'Export Order Acquisition '!$C$4:$H$4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'Export Order Acquisition '!$C$7:$H$7</c:f>
              <c:numCache>
                <c:formatCode>General</c:formatCode>
                <c:ptCount val="6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35</c:v>
                </c:pt>
                <c:pt idx="5">
                  <c:v>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06A-4FB7-9025-95370EA33D4C}"/>
            </c:ext>
          </c:extLst>
        </c:ser>
        <c:ser>
          <c:idx val="3"/>
          <c:order val="3"/>
          <c:tx>
            <c:strRef>
              <c:f>'Export Order Acquisition '!$B$8</c:f>
              <c:strCache>
                <c:ptCount val="1"/>
                <c:pt idx="0">
                  <c:v>IV&amp;V, Custom SW Development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'Export Order Acquisition '!$C$4:$H$4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'Export Order Acquisition '!$C$8:$H$8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85</c:v>
                </c:pt>
                <c:pt idx="5">
                  <c:v>160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06A-4FB7-9025-95370EA33D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3528064"/>
        <c:axId val="203551872"/>
      </c:barChart>
      <c:lineChart>
        <c:grouping val="standard"/>
        <c:varyColors val="0"/>
        <c:ser>
          <c:idx val="4"/>
          <c:order val="4"/>
          <c:tx>
            <c:strRef>
              <c:f>'Export Order Acquisition '!$B$9</c:f>
              <c:strCache>
                <c:ptCount val="1"/>
                <c:pt idx="0">
                  <c:v>Total in Crores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'Export Order Acquisition '!$C$4:$H$4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'Export Order Acquisition '!$C$9:$H$9</c:f>
              <c:numCache>
                <c:formatCode>General</c:formatCode>
                <c:ptCount val="6"/>
                <c:pt idx="0">
                  <c:v>155</c:v>
                </c:pt>
                <c:pt idx="1">
                  <c:v>160</c:v>
                </c:pt>
                <c:pt idx="2">
                  <c:v>190</c:v>
                </c:pt>
                <c:pt idx="3">
                  <c:v>240</c:v>
                </c:pt>
                <c:pt idx="4">
                  <c:v>350</c:v>
                </c:pt>
                <c:pt idx="5">
                  <c:v>500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F06A-4FB7-9025-95370EA33D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3528064"/>
        <c:axId val="203551872"/>
      </c:lineChart>
      <c:catAx>
        <c:axId val="20352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51872"/>
        <c:crosses val="autoZero"/>
        <c:auto val="1"/>
        <c:lblAlgn val="ctr"/>
        <c:lblOffset val="100"/>
        <c:noMultiLvlLbl val="0"/>
      </c:catAx>
      <c:valAx>
        <c:axId val="20355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  <a:r>
                  <a:rPr lang="en-IN" baseline="0"/>
                  <a:t> in Crores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2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Software Business (Domestic)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summary!$C$4:$H$4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 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summary!$C$5:$H$5</c:f>
              <c:numCache>
                <c:formatCode>General</c:formatCode>
                <c:ptCount val="6"/>
                <c:pt idx="0">
                  <c:v>1220</c:v>
                </c:pt>
                <c:pt idx="1">
                  <c:v>255</c:v>
                </c:pt>
                <c:pt idx="2">
                  <c:v>350</c:v>
                </c:pt>
                <c:pt idx="3">
                  <c:v>465</c:v>
                </c:pt>
                <c:pt idx="4">
                  <c:v>600</c:v>
                </c:pt>
                <c:pt idx="5">
                  <c:v>750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F6-415C-96B3-09B24D13C0D4}"/>
            </c:ext>
          </c:extLst>
        </c:ser>
        <c:ser>
          <c:idx val="1"/>
          <c:order val="1"/>
          <c:tx>
            <c:strRef>
              <c:f>summary!$B$6</c:f>
              <c:strCache>
                <c:ptCount val="1"/>
                <c:pt idx="0">
                  <c:v>Exports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summary!$C$4:$H$4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 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summary!$C$6:$H$6</c:f>
              <c:numCache>
                <c:formatCode>General</c:formatCode>
                <c:ptCount val="6"/>
                <c:pt idx="0">
                  <c:v>155</c:v>
                </c:pt>
                <c:pt idx="1">
                  <c:v>160</c:v>
                </c:pt>
                <c:pt idx="2">
                  <c:v>190</c:v>
                </c:pt>
                <c:pt idx="3">
                  <c:v>240</c:v>
                </c:pt>
                <c:pt idx="4">
                  <c:v>350</c:v>
                </c:pt>
                <c:pt idx="5">
                  <c:v>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CF6-415C-96B3-09B24D13C0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3655040"/>
        <c:axId val="203678848"/>
      </c:barChart>
      <c:lineChart>
        <c:grouping val="standard"/>
        <c:varyColors val="0"/>
        <c:ser>
          <c:idx val="2"/>
          <c:order val="2"/>
          <c:tx>
            <c:strRef>
              <c:f>summary!$B$7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summary!$C$4:$H$4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 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summary!$C$7:$H$7</c:f>
              <c:numCache>
                <c:formatCode>General</c:formatCode>
                <c:ptCount val="6"/>
                <c:pt idx="0">
                  <c:v>1375</c:v>
                </c:pt>
                <c:pt idx="1">
                  <c:v>415</c:v>
                </c:pt>
                <c:pt idx="2">
                  <c:v>540</c:v>
                </c:pt>
                <c:pt idx="3">
                  <c:v>705</c:v>
                </c:pt>
                <c:pt idx="4">
                  <c:v>950</c:v>
                </c:pt>
                <c:pt idx="5">
                  <c:v>1250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CF6-415C-96B3-09B24D13C0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3655040"/>
        <c:axId val="203678848"/>
      </c:lineChart>
      <c:catAx>
        <c:axId val="203655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78848"/>
        <c:crosses val="autoZero"/>
        <c:auto val="1"/>
        <c:lblAlgn val="ctr"/>
        <c:lblOffset val="100"/>
        <c:noMultiLvlLbl val="0"/>
      </c:catAx>
      <c:valAx>
        <c:axId val="20367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  <a:r>
                  <a:rPr lang="en-IN" baseline="0"/>
                  <a:t> in Crores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5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50" baseline="0">
                <a:solidFill>
                  <a:schemeClr val="tx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cap="all" baseline="0">
                <a:solidFill>
                  <a:schemeClr val="tx1">
                    <a:lumMod val="50000"/>
                  </a:schemeClr>
                </a:solidFill>
                <a:effectLst/>
              </a:rPr>
              <a:t>Turnover in INR Crores </a:t>
            </a:r>
            <a:endParaRPr lang="en-IN" sz="1600">
              <a:solidFill>
                <a:schemeClr val="tx1">
                  <a:lumMod val="50000"/>
                </a:scheme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25802071971109"/>
          <c:y val="0.16236162268650969"/>
          <c:w val="0.8269269840377893"/>
          <c:h val="0.690998045074401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turnover!$C$4</c:f>
              <c:strCache>
                <c:ptCount val="1"/>
                <c:pt idx="0">
                  <c:v>IDST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turnover!$B$5:$B$9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  <c:pt idx="4">
                  <c:v>2024-25(Planne)</c:v>
                </c:pt>
              </c:strCache>
            </c:strRef>
          </c:cat>
          <c:val>
            <c:numRef>
              <c:f>turnover!$C$5:$C$9</c:f>
              <c:numCache>
                <c:formatCode>General</c:formatCode>
                <c:ptCount val="5"/>
                <c:pt idx="0">
                  <c:v>30.1</c:v>
                </c:pt>
                <c:pt idx="1">
                  <c:v>35</c:v>
                </c:pt>
                <c:pt idx="2">
                  <c:v>77</c:v>
                </c:pt>
                <c:pt idx="3">
                  <c:v>88.26</c:v>
                </c:pt>
                <c:pt idx="4">
                  <c:v>126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601-4178-ADCF-647CA229EDFF}"/>
            </c:ext>
          </c:extLst>
        </c:ser>
        <c:ser>
          <c:idx val="1"/>
          <c:order val="1"/>
          <c:tx>
            <c:strRef>
              <c:f>turnover!$D$4</c:f>
              <c:strCache>
                <c:ptCount val="1"/>
                <c:pt idx="0">
                  <c:v>IUST 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turnover!$B$5:$B$9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  <c:pt idx="4">
                  <c:v>2024-25(Planne)</c:v>
                </c:pt>
              </c:strCache>
            </c:strRef>
          </c:cat>
          <c:val>
            <c:numRef>
              <c:f>turnover!$D$5:$D$9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5</c:v>
                </c:pt>
                <c:pt idx="3">
                  <c:v>10.46</c:v>
                </c:pt>
                <c:pt idx="4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601-4178-ADCF-647CA229EDFF}"/>
            </c:ext>
          </c:extLst>
        </c:ser>
        <c:ser>
          <c:idx val="2"/>
          <c:order val="2"/>
          <c:tx>
            <c:strRef>
              <c:f>turnover!$E$4</c:f>
              <c:strCache>
                <c:ptCount val="1"/>
                <c:pt idx="0">
                  <c:v>Direct order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turnover!$B$5:$B$9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  <c:pt idx="4">
                  <c:v>2024-25(Planne)</c:v>
                </c:pt>
              </c:strCache>
            </c:strRef>
          </c:cat>
          <c:val>
            <c:numRef>
              <c:f>turnover!$E$5:$E$9</c:f>
              <c:numCache>
                <c:formatCode>General</c:formatCode>
                <c:ptCount val="5"/>
                <c:pt idx="0">
                  <c:v>10.6</c:v>
                </c:pt>
                <c:pt idx="1">
                  <c:v>28</c:v>
                </c:pt>
                <c:pt idx="2">
                  <c:v>23</c:v>
                </c:pt>
                <c:pt idx="3">
                  <c:v>43.32</c:v>
                </c:pt>
                <c:pt idx="4">
                  <c:v>146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601-4178-ADCF-647CA229E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axId val="203779072"/>
        <c:axId val="203793536"/>
      </c:barChart>
      <c:lineChart>
        <c:grouping val="standard"/>
        <c:varyColors val="0"/>
        <c:ser>
          <c:idx val="3"/>
          <c:order val="3"/>
          <c:tx>
            <c:strRef>
              <c:f>turnover!$F$4</c:f>
              <c:strCache>
                <c:ptCount val="1"/>
                <c:pt idx="0">
                  <c:v>Total</c:v>
                </c:pt>
              </c:strCache>
            </c:strRef>
          </c:tx>
          <c:spPr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8947242314742014E-3"/>
                  <c:y val="-5.47000000000001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01-4178-ADCF-647CA229EDFF}"/>
                </c:ext>
              </c:extLst>
            </c:dLbl>
            <c:dLbl>
              <c:idx val="1"/>
              <c:layout>
                <c:manualLayout>
                  <c:x val="-1.6768918855598525E-3"/>
                  <c:y val="-5.46999999999999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601-4178-ADCF-647CA229EDFF}"/>
                </c:ext>
              </c:extLst>
            </c:dLbl>
            <c:dLbl>
              <c:idx val="2"/>
              <c:layout>
                <c:manualLayout>
                  <c:x val="-1.5296525980472115E-2"/>
                  <c:y val="-4.80333333333333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601-4178-ADCF-647CA229EDFF}"/>
                </c:ext>
              </c:extLst>
            </c:dLbl>
            <c:dLbl>
              <c:idx val="3"/>
              <c:layout>
                <c:manualLayout>
                  <c:x val="9.8107997698660028E-3"/>
                  <c:y val="-3.47000000000000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601-4178-ADCF-647CA229EDFF}"/>
                </c:ext>
              </c:extLst>
            </c:dLbl>
            <c:dLbl>
              <c:idx val="4"/>
              <c:layout>
                <c:manualLayout>
                  <c:x val="-5.2106347858613719E-2"/>
                  <c:y val="-2.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601-4178-ADCF-647CA229EDFF}"/>
                </c:ext>
              </c:extLst>
            </c:dLbl>
            <c:spPr>
              <a:noFill/>
              <a:ln>
                <a:solidFill>
                  <a:schemeClr val="accent4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turnover!$B$5:$B$9</c:f>
              <c:strCache>
                <c:ptCount val="5"/>
                <c:pt idx="0">
                  <c:v>2020-21</c:v>
                </c:pt>
                <c:pt idx="1">
                  <c:v>2021-22</c:v>
                </c:pt>
                <c:pt idx="2">
                  <c:v>2022-23</c:v>
                </c:pt>
                <c:pt idx="3">
                  <c:v>2023-24</c:v>
                </c:pt>
                <c:pt idx="4">
                  <c:v>2024-25(Planne)</c:v>
                </c:pt>
              </c:strCache>
            </c:strRef>
          </c:cat>
          <c:val>
            <c:numRef>
              <c:f>turnover!$F$5:$F$9</c:f>
              <c:numCache>
                <c:formatCode>General</c:formatCode>
                <c:ptCount val="5"/>
                <c:pt idx="0">
                  <c:v>44.7</c:v>
                </c:pt>
                <c:pt idx="1">
                  <c:v>71</c:v>
                </c:pt>
                <c:pt idx="2">
                  <c:v>105</c:v>
                </c:pt>
                <c:pt idx="3">
                  <c:v>142.04</c:v>
                </c:pt>
                <c:pt idx="4">
                  <c:v>282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7601-4178-ADCF-647CA229E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09536"/>
        <c:axId val="203795456"/>
      </c:lineChart>
      <c:catAx>
        <c:axId val="20377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>
                        <a:lumMod val="50000"/>
                      </a:schemeClr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93536"/>
        <c:crosses val="autoZero"/>
        <c:auto val="1"/>
        <c:lblAlgn val="ctr"/>
        <c:lblOffset val="100"/>
        <c:noMultiLvlLbl val="0"/>
      </c:catAx>
      <c:valAx>
        <c:axId val="203793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>
                        <a:lumMod val="50000"/>
                      </a:schemeClr>
                    </a:solidFill>
                  </a:rPr>
                  <a:t>value</a:t>
                </a:r>
                <a:r>
                  <a:rPr lang="en-IN" baseline="0">
                    <a:solidFill>
                      <a:schemeClr val="tx1">
                        <a:lumMod val="50000"/>
                      </a:schemeClr>
                    </a:solidFill>
                  </a:rPr>
                  <a:t> in crores</a:t>
                </a:r>
                <a:endParaRPr lang="en-IN">
                  <a:solidFill>
                    <a:schemeClr val="tx1">
                      <a:lumMod val="50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79072"/>
        <c:crosses val="autoZero"/>
        <c:crossBetween val="between"/>
      </c:valAx>
      <c:valAx>
        <c:axId val="2037954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tx2">
                    <a:lumMod val="50000"/>
                  </a:schemeClr>
                </a:solidFill>
              </a:defRPr>
            </a:pPr>
            <a:endParaRPr lang="en-US"/>
          </a:p>
        </c:txPr>
        <c:crossAx val="203809536"/>
        <c:crosses val="max"/>
        <c:crossBetween val="between"/>
      </c:valAx>
      <c:catAx>
        <c:axId val="203809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3795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1">
          <a:lumMod val="95000"/>
          <a:lumOff val="5000"/>
        </a:schemeClr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'Execution Plan'!$B$5</c:f>
              <c:strCache>
                <c:ptCount val="1"/>
                <c:pt idx="0">
                  <c:v>SW Business (Direct)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'Execution Plan'!$C$4:$H$4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'Execution Plan'!$C$5:$H$5</c:f>
              <c:numCache>
                <c:formatCode>General</c:formatCode>
                <c:ptCount val="6"/>
                <c:pt idx="0">
                  <c:v>146</c:v>
                </c:pt>
                <c:pt idx="1">
                  <c:v>200</c:v>
                </c:pt>
                <c:pt idx="2">
                  <c:v>280</c:v>
                </c:pt>
                <c:pt idx="3">
                  <c:v>350</c:v>
                </c:pt>
                <c:pt idx="4">
                  <c:v>550</c:v>
                </c:pt>
                <c:pt idx="5">
                  <c:v>700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EB4-868A-FB1F95B6FE95}"/>
            </c:ext>
          </c:extLst>
        </c:ser>
        <c:ser>
          <c:idx val="1"/>
          <c:order val="1"/>
          <c:tx>
            <c:strRef>
              <c:f>'Execution Plan'!$B$6</c:f>
              <c:strCache>
                <c:ptCount val="1"/>
                <c:pt idx="0">
                  <c:v>IDST/IUST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'Execution Plan'!$C$4:$H$4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'Execution Plan'!$C$6:$H$6</c:f>
              <c:numCache>
                <c:formatCode>General</c:formatCode>
                <c:ptCount val="6"/>
                <c:pt idx="0">
                  <c:v>136</c:v>
                </c:pt>
                <c:pt idx="1">
                  <c:v>145</c:v>
                </c:pt>
                <c:pt idx="2">
                  <c:v>155</c:v>
                </c:pt>
                <c:pt idx="3">
                  <c:v>170</c:v>
                </c:pt>
                <c:pt idx="4">
                  <c:v>200</c:v>
                </c:pt>
                <c:pt idx="5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DF1-4EB4-868A-FB1F95B6FE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3936512"/>
        <c:axId val="203952128"/>
      </c:barChart>
      <c:lineChart>
        <c:grouping val="standard"/>
        <c:varyColors val="0"/>
        <c:ser>
          <c:idx val="2"/>
          <c:order val="2"/>
          <c:tx>
            <c:strRef>
              <c:f>'Execution Plan'!$B$7</c:f>
              <c:strCache>
                <c:ptCount val="1"/>
                <c:pt idx="0">
                  <c:v>Total Turnover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'Execution Plan'!$C$4:$H$4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'Execution Plan'!$C$7:$H$7</c:f>
              <c:numCache>
                <c:formatCode>General</c:formatCode>
                <c:ptCount val="6"/>
                <c:pt idx="0">
                  <c:v>282</c:v>
                </c:pt>
                <c:pt idx="1">
                  <c:v>345</c:v>
                </c:pt>
                <c:pt idx="2">
                  <c:v>435</c:v>
                </c:pt>
                <c:pt idx="3">
                  <c:v>520</c:v>
                </c:pt>
                <c:pt idx="4">
                  <c:v>750</c:v>
                </c:pt>
                <c:pt idx="5">
                  <c:v>1000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DF1-4EB4-868A-FB1F95B6FE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3936512"/>
        <c:axId val="203952128"/>
      </c:lineChart>
      <c:catAx>
        <c:axId val="203936512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52128"/>
        <c:crosses val="autoZero"/>
        <c:auto val="1"/>
        <c:lblAlgn val="ctr"/>
        <c:lblOffset val="100"/>
        <c:noMultiLvlLbl val="0"/>
      </c:catAx>
      <c:valAx>
        <c:axId val="20395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</a:t>
            </a:r>
            <a:r>
              <a:rPr lang="en-IN" baseline="0"/>
              <a:t> and MT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E7-4EC2-9985-38591BCD7E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2E7-4EC2-9985-38591BCD7E6F}"/>
              </c:ext>
            </c:extLst>
          </c:dPt>
          <c:dPt>
            <c:idx val="2"/>
            <c:bubble3D val="0"/>
            <c:spPr>
              <a:solidFill>
                <a:sysClr val="window" lastClr="FFFFFF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2E7-4EC2-9985-38591BCD7E6F}"/>
              </c:ext>
            </c:extLst>
          </c:dPt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sz="11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/>
                      <a:t>ST</a:t>
                    </a:r>
                  </a:p>
                  <a:p>
                    <a:pPr algn="ctr">
                      <a:defRPr sz="11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/>
                      <a:t>Count: 38</a:t>
                    </a:r>
                  </a:p>
                  <a:p>
                    <a:pPr algn="ctr">
                      <a:defRPr sz="11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/>
                      <a:t>82%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E7-4EC2-9985-38591BCD7E6F}"/>
                </c:ext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sz="105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 baseline="0"/>
                      <a:t>MT</a:t>
                    </a:r>
                  </a:p>
                  <a:p>
                    <a:pPr algn="ctr">
                      <a:defRPr sz="105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 baseline="0"/>
                      <a:t>Count: 8</a:t>
                    </a:r>
                  </a:p>
                  <a:p>
                    <a:pPr algn="ctr">
                      <a:defRPr sz="105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/>
                      <a:t>18%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E7-4EC2-9985-38591BCD7E6F}"/>
                </c:ext>
              </c:extLst>
            </c:dLbl>
            <c:dLbl>
              <c:idx val="2"/>
              <c:layout>
                <c:manualLayout>
                  <c:x val="0"/>
                  <c:y val="-0.3097174206538110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sz="12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>
                        <a:solidFill>
                          <a:sysClr val="windowText" lastClr="000000"/>
                        </a:solidFill>
                      </a:rPr>
                      <a:t>Total: 46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E7-4EC2-9985-38591BCD7E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[1]Sheet1!$C$8:$E$8</c:f>
              <c:numCache>
                <c:formatCode>General</c:formatCode>
                <c:ptCount val="3"/>
                <c:pt idx="0">
                  <c:v>38</c:v>
                </c:pt>
                <c:pt idx="1">
                  <c:v>8</c:v>
                </c:pt>
                <c:pt idx="2">
                  <c:v>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E7-4EC2-9985-38591BCD7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Def</a:t>
            </a:r>
            <a:r>
              <a:rPr lang="en-IN" baseline="0"/>
              <a:t> and Non-Def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A1E-46CB-8C5F-93FC4404F5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A1E-46CB-8C5F-93FC4404F527}"/>
              </c:ext>
            </c:extLst>
          </c:dPt>
          <c:dPt>
            <c:idx val="2"/>
            <c:bubble3D val="0"/>
            <c:spPr>
              <a:solidFill>
                <a:sysClr val="window" lastClr="FFFFFF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A1E-46CB-8C5F-93FC4404F527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BD726734-281E-48B6-AB14-675A5DB9DEAE}" type="CATEGORYNAME">
                      <a:rPr lang="en-US"/>
                      <a:pPr/>
                      <a:t>[CATEGORY NAME]</a:t>
                    </a:fld>
                    <a:endParaRPr lang="en-US" baseline="0"/>
                  </a:p>
                  <a:p>
                    <a:r>
                      <a:rPr lang="en-US"/>
                      <a:t>Count: </a:t>
                    </a:r>
                    <a:fld id="{D7CDAB48-A598-478F-908A-AACC10C9E445}" type="VALUE">
                      <a:rPr lang="en-US"/>
                      <a:pPr/>
                      <a:t>[VALUE]</a:t>
                    </a:fld>
                    <a:endParaRPr lang="en-US" baseline="0"/>
                  </a:p>
                  <a:p>
                    <a:r>
                      <a:rPr lang="en-US"/>
                      <a:t>80%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A1E-46CB-8C5F-93FC4404F527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F3A16F12-5156-4198-A51E-5A0D47CC5373}" type="CATEGORYNAME">
                      <a:rPr lang="en-US"/>
                      <a:pPr/>
                      <a:t>[CATEGORY NAME]</a:t>
                    </a:fld>
                    <a:endParaRPr lang="en-US" baseline="0"/>
                  </a:p>
                  <a:p>
                    <a:r>
                      <a:rPr lang="en-US"/>
                      <a:t>Count:</a:t>
                    </a:r>
                    <a:fld id="{30248683-03E1-4DBB-9A51-0CDA59917E3E}" type="VALUE">
                      <a:rPr lang="en-US"/>
                      <a:pPr/>
                      <a:t>[VALUE]</a:t>
                    </a:fld>
                    <a:endParaRPr lang="en-US" baseline="0"/>
                  </a:p>
                  <a:p>
                    <a:r>
                      <a:rPr lang="en-US"/>
                      <a:t>20%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A1E-46CB-8C5F-93FC4404F527}"/>
                </c:ext>
              </c:extLst>
            </c:dLbl>
            <c:dLbl>
              <c:idx val="2"/>
              <c:layout>
                <c:manualLayout>
                  <c:x val="2.7777777777777779E-3"/>
                  <c:y val="-0.3055555555555556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 baseline="0">
                      <a:solidFill>
                        <a:schemeClr val="tx1"/>
                      </a:solidFill>
                    </a:endParaRPr>
                  </a:p>
                  <a:p>
                    <a:pPr>
                      <a:defRPr sz="10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tx1"/>
                        </a:solidFill>
                      </a:rPr>
                      <a:t>Total: </a:t>
                    </a:r>
                    <a:fld id="{8623CF22-92E4-4688-AF25-60208356F718}" type="VALUE">
                      <a:rPr lang="en-US">
                        <a:solidFill>
                          <a:schemeClr val="tx1"/>
                        </a:solidFill>
                      </a:rPr>
                      <a:pPr>
                        <a:defRPr sz="1000" b="1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[VALUE]</a:t>
                    </a:fld>
                    <a:endParaRPr lang="en-US" baseline="0">
                      <a:solidFill>
                        <a:schemeClr val="tx1"/>
                      </a:solidFill>
                    </a:endParaRPr>
                  </a:p>
                  <a:p>
                    <a:pPr>
                      <a:defRPr sz="10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A1E-46CB-8C5F-93FC4404F5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[1]Sheet1!$C$25:$E$25</c:f>
              <c:strCache>
                <c:ptCount val="3"/>
                <c:pt idx="0">
                  <c:v>Def</c:v>
                </c:pt>
                <c:pt idx="1">
                  <c:v>Non Def</c:v>
                </c:pt>
              </c:strCache>
            </c:strRef>
          </c:cat>
          <c:val>
            <c:numRef>
              <c:f>[1]Sheet1!$C$32:$E$32</c:f>
              <c:numCache>
                <c:formatCode>General</c:formatCode>
                <c:ptCount val="3"/>
                <c:pt idx="0">
                  <c:v>38</c:v>
                </c:pt>
                <c:pt idx="1">
                  <c:v>10</c:v>
                </c:pt>
                <c:pt idx="2">
                  <c:v>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2A1E-46CB-8C5F-93FC4404F5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27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"/>
                  <c:y val="-3.703703703703703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</c:dLbl>
            <c:dLbl>
              <c:idx val="1"/>
              <c:layout>
                <c:manualLayout>
                  <c:x val="4.1666666666666664E-2"/>
                  <c:y val="-1.85185185185185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</c:dLbl>
            <c:dLbl>
              <c:idx val="2"/>
              <c:layout>
                <c:manualLayout>
                  <c:x val="5.833333333333323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</c:dLbl>
            <c:dLbl>
              <c:idx val="3"/>
              <c:layout>
                <c:manualLayout>
                  <c:x val="7.2222222222222118E-2"/>
                  <c:y val="6.94444444444444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</c:dLbl>
            <c:dLbl>
              <c:idx val="4"/>
              <c:layout>
                <c:manualLayout>
                  <c:x val="2.5252525252525255E-3"/>
                  <c:y val="-0.2143281925990708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</c:dLbl>
            <c:dLbl>
              <c:idx val="5"/>
              <c:layout>
                <c:manualLayout>
                  <c:x val="-1.9444444444444445E-2"/>
                  <c:y val="-4.16666666666666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</c:dLbls>
          <c:cat>
            <c:strRef>
              <c:f>Sheet2!$B$3:$B$8</c:f>
              <c:strCache>
                <c:ptCount val="6"/>
                <c:pt idx="0">
                  <c:v>2019-20</c:v>
                </c:pt>
                <c:pt idx="1">
                  <c:v>2020-21</c:v>
                </c:pt>
                <c:pt idx="2">
                  <c:v>2021-22</c:v>
                </c:pt>
                <c:pt idx="3">
                  <c:v>2022-23</c:v>
                </c:pt>
                <c:pt idx="4">
                  <c:v>2023-24 </c:v>
                </c:pt>
                <c:pt idx="5">
                  <c:v>2024-25(Q2)</c:v>
                </c:pt>
              </c:strCache>
            </c:strRef>
          </c:cat>
          <c:val>
            <c:numRef>
              <c:f>Sheet2!$G$3:$G$8</c:f>
              <c:numCache>
                <c:formatCode>General</c:formatCode>
                <c:ptCount val="6"/>
                <c:pt idx="0">
                  <c:v>6.5</c:v>
                </c:pt>
                <c:pt idx="1">
                  <c:v>44</c:v>
                </c:pt>
                <c:pt idx="2">
                  <c:v>71</c:v>
                </c:pt>
                <c:pt idx="3">
                  <c:v>105</c:v>
                </c:pt>
                <c:pt idx="4">
                  <c:v>142</c:v>
                </c:pt>
                <c:pt idx="5">
                  <c:v>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10</xdr:col>
      <xdr:colOff>90908</xdr:colOff>
      <xdr:row>34</xdr:row>
      <xdr:rowOff>96248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10</xdr:row>
      <xdr:rowOff>76200</xdr:rowOff>
    </xdr:from>
    <xdr:to>
      <xdr:col>9</xdr:col>
      <xdr:colOff>34925</xdr:colOff>
      <xdr:row>33</xdr:row>
      <xdr:rowOff>138938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580792</xdr:colOff>
      <xdr:row>7</xdr:row>
      <xdr:rowOff>232317</xdr:rowOff>
    </xdr:from>
    <xdr:to>
      <xdr:col>22</xdr:col>
      <xdr:colOff>151007</xdr:colOff>
      <xdr:row>37</xdr:row>
      <xdr:rowOff>127772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325243</xdr:colOff>
      <xdr:row>11</xdr:row>
      <xdr:rowOff>162622</xdr:rowOff>
    </xdr:from>
    <xdr:to>
      <xdr:col>15</xdr:col>
      <xdr:colOff>360090</xdr:colOff>
      <xdr:row>30</xdr:row>
      <xdr:rowOff>34848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E95A7F8B-F0F7-4C01-8FE5-1F6C3DC85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23233</xdr:colOff>
      <xdr:row>4</xdr:row>
      <xdr:rowOff>69694</xdr:rowOff>
    </xdr:from>
    <xdr:to>
      <xdr:col>24</xdr:col>
      <xdr:colOff>348477</xdr:colOff>
      <xdr:row>19</xdr:row>
      <xdr:rowOff>134510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992B9531-FB2B-47C1-9456-C6FF81162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1117445</xdr:colOff>
      <xdr:row>39</xdr:row>
      <xdr:rowOff>97803</xdr:rowOff>
    </xdr:from>
    <xdr:to>
      <xdr:col>9</xdr:col>
      <xdr:colOff>313628</xdr:colOff>
      <xdr:row>63</xdr:row>
      <xdr:rowOff>34846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0F147030-22E9-4DCD-A8B0-54BAE1778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609599</xdr:colOff>
      <xdr:row>2</xdr:row>
      <xdr:rowOff>85724</xdr:rowOff>
    </xdr:from>
    <xdr:to>
      <xdr:col>16</xdr:col>
      <xdr:colOff>438150</xdr:colOff>
      <xdr:row>12</xdr:row>
      <xdr:rowOff>200023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585787</xdr:colOff>
      <xdr:row>14</xdr:row>
      <xdr:rowOff>147637</xdr:rowOff>
    </xdr:from>
    <xdr:to>
      <xdr:col>17</xdr:col>
      <xdr:colOff>528637</xdr:colOff>
      <xdr:row>23</xdr:row>
      <xdr:rowOff>185737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514350</xdr:colOff>
      <xdr:row>22</xdr:row>
      <xdr:rowOff>147636</xdr:rowOff>
    </xdr:from>
    <xdr:to>
      <xdr:col>13</xdr:col>
      <xdr:colOff>276225</xdr:colOff>
      <xdr:row>30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7ED1461-47CD-4C39-8AF8-2E064D01E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623886</xdr:colOff>
      <xdr:row>33</xdr:row>
      <xdr:rowOff>57150</xdr:rowOff>
    </xdr:from>
    <xdr:to>
      <xdr:col>11</xdr:col>
      <xdr:colOff>314325</xdr:colOff>
      <xdr:row>42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ABF98B4B-D54A-4DDC-9521-C3F44F0F9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385762</xdr:colOff>
      <xdr:row>45</xdr:row>
      <xdr:rowOff>90487</xdr:rowOff>
    </xdr:from>
    <xdr:to>
      <xdr:col>13</xdr:col>
      <xdr:colOff>14287</xdr:colOff>
      <xdr:row>56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7EDAFB3D-E337-4BEA-990F-E08BFBA2B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138267</xdr:rowOff>
    </xdr:from>
    <xdr:to>
      <xdr:col>3</xdr:col>
      <xdr:colOff>676153</xdr:colOff>
      <xdr:row>35</xdr:row>
      <xdr:rowOff>10522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376902</xdr:colOff>
      <xdr:row>51</xdr:row>
      <xdr:rowOff>164688</xdr:rowOff>
    </xdr:from>
    <xdr:to>
      <xdr:col>3</xdr:col>
      <xdr:colOff>983226</xdr:colOff>
      <xdr:row>75</xdr:row>
      <xdr:rowOff>61451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409214</xdr:colOff>
      <xdr:row>12</xdr:row>
      <xdr:rowOff>100571</xdr:rowOff>
    </xdr:from>
    <xdr:to>
      <xdr:col>18</xdr:col>
      <xdr:colOff>121705</xdr:colOff>
      <xdr:row>34</xdr:row>
      <xdr:rowOff>19041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xmlns="" id="{00000000-0008-0000-0400-000008000000}"/>
            </a:ext>
          </a:extLst>
        </xdr:cNvPr>
        <xdr:cNvGrpSpPr/>
      </xdr:nvGrpSpPr>
      <xdr:grpSpPr>
        <a:xfrm>
          <a:off x="4157762" y="3265329"/>
          <a:ext cx="8868782" cy="3974277"/>
          <a:chOff x="4157762" y="3265329"/>
          <a:chExt cx="8868782" cy="3974277"/>
        </a:xfrm>
      </xdr:grpSpPr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xmlns="" id="{00000000-0008-0000-0400-000007000000}"/>
              </a:ext>
            </a:extLst>
          </xdr:cNvPr>
          <xdr:cNvGraphicFramePr/>
        </xdr:nvGraphicFramePr>
        <xdr:xfrm>
          <a:off x="4157762" y="3535874"/>
          <a:ext cx="5461145" cy="37037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xmlns="" id="{00000000-0008-0000-0400-000003000000}"/>
              </a:ext>
            </a:extLst>
          </xdr:cNvPr>
          <xdr:cNvGraphicFramePr/>
        </xdr:nvGraphicFramePr>
        <xdr:xfrm>
          <a:off x="8389487" y="3265329"/>
          <a:ext cx="4637057" cy="34328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5</xdr:col>
      <xdr:colOff>79887</xdr:colOff>
      <xdr:row>56</xdr:row>
      <xdr:rowOff>133964</xdr:rowOff>
    </xdr:from>
    <xdr:to>
      <xdr:col>11</xdr:col>
      <xdr:colOff>411726</xdr:colOff>
      <xdr:row>71</xdr:row>
      <xdr:rowOff>111841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xmlns="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417870</xdr:colOff>
      <xdr:row>56</xdr:row>
      <xdr:rowOff>103239</xdr:rowOff>
    </xdr:from>
    <xdr:to>
      <xdr:col>19</xdr:col>
      <xdr:colOff>73741</xdr:colOff>
      <xdr:row>71</xdr:row>
      <xdr:rowOff>81116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xmlns="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89646</xdr:colOff>
      <xdr:row>4</xdr:row>
      <xdr:rowOff>22411</xdr:rowOff>
    </xdr:from>
    <xdr:to>
      <xdr:col>16</xdr:col>
      <xdr:colOff>593911</xdr:colOff>
      <xdr:row>15</xdr:row>
      <xdr:rowOff>168088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306737</xdr:colOff>
      <xdr:row>30</xdr:row>
      <xdr:rowOff>81642</xdr:rowOff>
    </xdr:from>
    <xdr:to>
      <xdr:col>17</xdr:col>
      <xdr:colOff>585107</xdr:colOff>
      <xdr:row>52</xdr:row>
      <xdr:rowOff>161440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387801</xdr:colOff>
      <xdr:row>0</xdr:row>
      <xdr:rowOff>0</xdr:rowOff>
    </xdr:from>
    <xdr:to>
      <xdr:col>29</xdr:col>
      <xdr:colOff>340179</xdr:colOff>
      <xdr:row>12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8E734DD-7E50-4D17-835E-6A59C2CD9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326571</xdr:colOff>
      <xdr:row>14</xdr:row>
      <xdr:rowOff>0</xdr:rowOff>
    </xdr:from>
    <xdr:to>
      <xdr:col>28</xdr:col>
      <xdr:colOff>503464</xdr:colOff>
      <xdr:row>32</xdr:row>
      <xdr:rowOff>68035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87D18D36-47E2-4D81-AD09-157569C51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285750</xdr:colOff>
      <xdr:row>9</xdr:row>
      <xdr:rowOff>166007</xdr:rowOff>
    </xdr:from>
    <xdr:to>
      <xdr:col>17</xdr:col>
      <xdr:colOff>476250</xdr:colOff>
      <xdr:row>27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E8D11804-E8AE-498E-8AA1-255A257D4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5</xdr:row>
      <xdr:rowOff>147637</xdr:rowOff>
    </xdr:from>
    <xdr:to>
      <xdr:col>14</xdr:col>
      <xdr:colOff>314325</xdr:colOff>
      <xdr:row>18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509586</xdr:colOff>
      <xdr:row>26</xdr:row>
      <xdr:rowOff>9525</xdr:rowOff>
    </xdr:from>
    <xdr:to>
      <xdr:col>12</xdr:col>
      <xdr:colOff>57150</xdr:colOff>
      <xdr:row>39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342900</xdr:colOff>
      <xdr:row>26</xdr:row>
      <xdr:rowOff>19050</xdr:rowOff>
    </xdr:from>
    <xdr:to>
      <xdr:col>20</xdr:col>
      <xdr:colOff>361950</xdr:colOff>
      <xdr:row>39</xdr:row>
      <xdr:rowOff>123825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119062</xdr:colOff>
      <xdr:row>5</xdr:row>
      <xdr:rowOff>62507</xdr:rowOff>
    </xdr:from>
    <xdr:to>
      <xdr:col>14</xdr:col>
      <xdr:colOff>550069</xdr:colOff>
      <xdr:row>17</xdr:row>
      <xdr:rowOff>163711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238125</xdr:colOff>
      <xdr:row>23</xdr:row>
      <xdr:rowOff>371475</xdr:rowOff>
    </xdr:from>
    <xdr:to>
      <xdr:col>20</xdr:col>
      <xdr:colOff>238125</xdr:colOff>
      <xdr:row>33</xdr:row>
      <xdr:rowOff>447675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238125</xdr:colOff>
      <xdr:row>24</xdr:row>
      <xdr:rowOff>89297</xdr:rowOff>
    </xdr:from>
    <xdr:to>
      <xdr:col>12</xdr:col>
      <xdr:colOff>416719</xdr:colOff>
      <xdr:row>34</xdr:row>
      <xdr:rowOff>35654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397018</xdr:colOff>
      <xdr:row>27</xdr:row>
      <xdr:rowOff>158317</xdr:rowOff>
    </xdr:from>
    <xdr:to>
      <xdr:col>5</xdr:col>
      <xdr:colOff>387493</xdr:colOff>
      <xdr:row>42</xdr:row>
      <xdr:rowOff>46903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480723</xdr:colOff>
      <xdr:row>27</xdr:row>
      <xdr:rowOff>147636</xdr:rowOff>
    </xdr:from>
    <xdr:to>
      <xdr:col>14</xdr:col>
      <xdr:colOff>380711</xdr:colOff>
      <xdr:row>43</xdr:row>
      <xdr:rowOff>95248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557068</xdr:colOff>
      <xdr:row>5</xdr:row>
      <xdr:rowOff>100446</xdr:rowOff>
    </xdr:from>
    <xdr:to>
      <xdr:col>12</xdr:col>
      <xdr:colOff>279977</xdr:colOff>
      <xdr:row>12</xdr:row>
      <xdr:rowOff>116032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513772</xdr:colOff>
      <xdr:row>3</xdr:row>
      <xdr:rowOff>100445</xdr:rowOff>
    </xdr:from>
    <xdr:to>
      <xdr:col>17</xdr:col>
      <xdr:colOff>236681</xdr:colOff>
      <xdr:row>14</xdr:row>
      <xdr:rowOff>188191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56031</xdr:colOff>
      <xdr:row>3</xdr:row>
      <xdr:rowOff>149412</xdr:rowOff>
    </xdr:from>
    <xdr:to>
      <xdr:col>29</xdr:col>
      <xdr:colOff>336176</xdr:colOff>
      <xdr:row>30</xdr:row>
      <xdr:rowOff>112058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28575</xdr:rowOff>
    </xdr:from>
    <xdr:to>
      <xdr:col>8</xdr:col>
      <xdr:colOff>306833</xdr:colOff>
      <xdr:row>41</xdr:row>
      <xdr:rowOff>135979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395286</xdr:colOff>
      <xdr:row>10</xdr:row>
      <xdr:rowOff>104776</xdr:rowOff>
    </xdr:from>
    <xdr:to>
      <xdr:col>4</xdr:col>
      <xdr:colOff>876299</xdr:colOff>
      <xdr:row>33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689161</xdr:colOff>
      <xdr:row>15</xdr:row>
      <xdr:rowOff>158000</xdr:rowOff>
    </xdr:from>
    <xdr:to>
      <xdr:col>11</xdr:col>
      <xdr:colOff>11206</xdr:colOff>
      <xdr:row>42</xdr:row>
      <xdr:rowOff>112057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8C46F48-3CD7-471B-B3C7-F25935AD1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1223961</xdr:colOff>
      <xdr:row>10</xdr:row>
      <xdr:rowOff>185737</xdr:rowOff>
    </xdr:from>
    <xdr:to>
      <xdr:col>8</xdr:col>
      <xdr:colOff>600074</xdr:colOff>
      <xdr:row>34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CCBDA71-653F-4EDC-AA0E-ACEABE31D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5</xdr:col>
      <xdr:colOff>1095573</xdr:colOff>
      <xdr:row>30</xdr:row>
      <xdr:rowOff>158949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1061945</xdr:colOff>
      <xdr:row>11</xdr:row>
      <xdr:rowOff>4258</xdr:rowOff>
    </xdr:from>
    <xdr:to>
      <xdr:col>6</xdr:col>
      <xdr:colOff>383289</xdr:colOff>
      <xdr:row>25</xdr:row>
      <xdr:rowOff>87327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37A2EDF-329C-4365-A531-8B8C69B3F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419099</xdr:colOff>
      <xdr:row>15</xdr:row>
      <xdr:rowOff>323850</xdr:rowOff>
    </xdr:from>
    <xdr:to>
      <xdr:col>7</xdr:col>
      <xdr:colOff>493499</xdr:colOff>
      <xdr:row>20</xdr:row>
      <xdr:rowOff>115725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BA45FD80-2586-47A5-969A-9E8027AEC842}"/>
            </a:ext>
          </a:extLst>
        </xdr:cNvPr>
        <xdr:cNvCxnSpPr/>
      </xdr:nvCxnSpPr>
      <xdr:spPr>
        <a:xfrm flipH="1">
          <a:off x="5943599" y="3381375"/>
          <a:ext cx="684000" cy="10777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414336</xdr:colOff>
      <xdr:row>4</xdr:row>
      <xdr:rowOff>19050</xdr:rowOff>
    </xdr:from>
    <xdr:to>
      <xdr:col>25</xdr:col>
      <xdr:colOff>152399</xdr:colOff>
      <xdr:row>25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9251E1-BB20-4883-B549-5BBA0F905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466725</xdr:colOff>
      <xdr:row>20</xdr:row>
      <xdr:rowOff>71436</xdr:rowOff>
    </xdr:from>
    <xdr:to>
      <xdr:col>16</xdr:col>
      <xdr:colOff>47625</xdr:colOff>
      <xdr:row>35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87743DD9-AD44-4370-8805-5C6C80B8E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504825</xdr:colOff>
      <xdr:row>2</xdr:row>
      <xdr:rowOff>209550</xdr:rowOff>
    </xdr:from>
    <xdr:to>
      <xdr:col>18</xdr:col>
      <xdr:colOff>47625</xdr:colOff>
      <xdr:row>14</xdr:row>
      <xdr:rowOff>14287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8">
          <cell r="C8">
            <v>38</v>
          </cell>
          <cell r="D8">
            <v>8</v>
          </cell>
          <cell r="E8">
            <v>46</v>
          </cell>
        </row>
        <row r="25">
          <cell r="C25" t="str">
            <v>Def</v>
          </cell>
          <cell r="D25" t="str">
            <v>Non Def</v>
          </cell>
        </row>
        <row r="32">
          <cell r="C32">
            <v>38</v>
          </cell>
          <cell r="D32">
            <v>10</v>
          </cell>
          <cell r="E32">
            <v>48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showGridLines="0" zoomScale="77" zoomScaleNormal="77" workbookViewId="0">
      <selection activeCell="F40" sqref="F40"/>
    </sheetView>
  </sheetViews>
  <sheetFormatPr defaultRowHeight="15" x14ac:dyDescent="0.25"/>
  <cols>
    <col min="2" max="2" width="13.5703125" customWidth="1"/>
    <col min="5" max="5" width="13.85546875" customWidth="1"/>
    <col min="6" max="6" width="12" customWidth="1"/>
  </cols>
  <sheetData>
    <row r="1" spans="1:7" ht="37.5" x14ac:dyDescent="0.25">
      <c r="A1" s="1" t="s">
        <v>10</v>
      </c>
    </row>
    <row r="3" spans="1:7" ht="15.75" thickBot="1" x14ac:dyDescent="0.3"/>
    <row r="4" spans="1:7" ht="54.75" thickBot="1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7" ht="21" thickTop="1" thickBot="1" x14ac:dyDescent="0.3">
      <c r="A5" s="3">
        <v>1</v>
      </c>
      <c r="B5" s="3" t="s">
        <v>6</v>
      </c>
      <c r="C5" s="3">
        <v>30.1</v>
      </c>
      <c r="D5" s="3">
        <v>4</v>
      </c>
      <c r="E5" s="3">
        <v>10.6</v>
      </c>
      <c r="F5" s="3">
        <v>44.7</v>
      </c>
    </row>
    <row r="6" spans="1:7" ht="20.25" thickBot="1" x14ac:dyDescent="0.3">
      <c r="A6" s="4">
        <v>2</v>
      </c>
      <c r="B6" s="4" t="s">
        <v>7</v>
      </c>
      <c r="C6" s="4">
        <v>35</v>
      </c>
      <c r="D6" s="4">
        <v>8</v>
      </c>
      <c r="E6" s="4">
        <v>28</v>
      </c>
      <c r="F6" s="4">
        <v>71</v>
      </c>
    </row>
    <row r="7" spans="1:7" ht="20.25" thickBot="1" x14ac:dyDescent="0.3">
      <c r="A7" s="5">
        <v>3</v>
      </c>
      <c r="B7" s="5" t="s">
        <v>8</v>
      </c>
      <c r="C7" s="5">
        <v>77</v>
      </c>
      <c r="D7" s="5">
        <v>5</v>
      </c>
      <c r="E7" s="5">
        <v>23</v>
      </c>
      <c r="F7" s="5">
        <v>105</v>
      </c>
    </row>
    <row r="8" spans="1:7" ht="20.25" thickBot="1" x14ac:dyDescent="0.3">
      <c r="A8" s="4">
        <v>4</v>
      </c>
      <c r="B8" s="4" t="s">
        <v>9</v>
      </c>
      <c r="C8" s="4">
        <v>88.26</v>
      </c>
      <c r="D8" s="4">
        <v>10.46</v>
      </c>
      <c r="E8" s="4">
        <v>43.32</v>
      </c>
      <c r="F8" s="4">
        <v>142.04</v>
      </c>
    </row>
    <row r="10" spans="1:7" x14ac:dyDescent="0.25">
      <c r="A10" s="10"/>
      <c r="B10" s="10"/>
      <c r="C10" s="10"/>
      <c r="D10" s="10"/>
      <c r="E10" s="10"/>
      <c r="F10" s="10"/>
      <c r="G10" s="10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showGridLines="0" topLeftCell="A7" workbookViewId="0">
      <selection activeCell="I7" sqref="I7"/>
    </sheetView>
  </sheetViews>
  <sheetFormatPr defaultRowHeight="15" x14ac:dyDescent="0.25"/>
  <cols>
    <col min="2" max="2" width="12.5703125" customWidth="1"/>
    <col min="3" max="3" width="10.5703125" customWidth="1"/>
    <col min="4" max="4" width="14.85546875" customWidth="1"/>
    <col min="5" max="5" width="14.5703125" customWidth="1"/>
  </cols>
  <sheetData>
    <row r="1" spans="1:5" ht="37.5" x14ac:dyDescent="0.25">
      <c r="A1" s="91" t="s">
        <v>99</v>
      </c>
    </row>
    <row r="3" spans="1:5" ht="15.75" thickBot="1" x14ac:dyDescent="0.3"/>
    <row r="4" spans="1:5" ht="36.75" thickBot="1" x14ac:dyDescent="0.3">
      <c r="A4" s="2" t="s">
        <v>0</v>
      </c>
      <c r="B4" s="2" t="s">
        <v>1</v>
      </c>
      <c r="C4" s="6" t="s">
        <v>98</v>
      </c>
      <c r="D4" s="2" t="s">
        <v>11</v>
      </c>
      <c r="E4" s="2" t="s">
        <v>12</v>
      </c>
    </row>
    <row r="5" spans="1:5" ht="40.5" thickTop="1" thickBot="1" x14ac:dyDescent="0.3">
      <c r="A5" s="3">
        <v>1</v>
      </c>
      <c r="B5" s="3" t="s">
        <v>6</v>
      </c>
      <c r="C5" s="7">
        <v>20</v>
      </c>
      <c r="D5" s="7">
        <v>10</v>
      </c>
      <c r="E5" s="7">
        <v>15</v>
      </c>
    </row>
    <row r="6" spans="1:5" ht="39.75" thickBot="1" x14ac:dyDescent="0.3">
      <c r="A6" s="4">
        <v>2</v>
      </c>
      <c r="B6" s="4" t="s">
        <v>7</v>
      </c>
      <c r="C6" s="8">
        <v>50</v>
      </c>
      <c r="D6" s="8">
        <v>15</v>
      </c>
      <c r="E6" s="8">
        <v>15</v>
      </c>
    </row>
    <row r="7" spans="1:5" ht="39.75" thickBot="1" x14ac:dyDescent="0.3">
      <c r="A7" s="5">
        <v>3</v>
      </c>
      <c r="B7" s="5" t="s">
        <v>8</v>
      </c>
      <c r="C7" s="9">
        <v>85</v>
      </c>
      <c r="D7" s="9">
        <v>20</v>
      </c>
      <c r="E7" s="9">
        <v>15</v>
      </c>
    </row>
    <row r="8" spans="1:5" ht="39.75" thickBot="1" x14ac:dyDescent="0.3">
      <c r="A8" s="4">
        <v>4</v>
      </c>
      <c r="B8" s="4" t="s">
        <v>9</v>
      </c>
      <c r="C8" s="8">
        <v>125</v>
      </c>
      <c r="D8" s="8">
        <v>30</v>
      </c>
      <c r="E8" s="8">
        <v>10</v>
      </c>
    </row>
    <row r="9" spans="1:5" ht="39.75" thickBot="1" x14ac:dyDescent="0.3">
      <c r="A9" s="9">
        <v>5</v>
      </c>
      <c r="B9" s="5" t="s">
        <v>13</v>
      </c>
      <c r="C9" s="9">
        <v>175</v>
      </c>
      <c r="D9" s="9">
        <v>20</v>
      </c>
      <c r="E9" s="9">
        <v>20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opLeftCell="A17" zoomScale="82" zoomScaleNormal="82" workbookViewId="0">
      <selection activeCell="P45" sqref="P45"/>
    </sheetView>
  </sheetViews>
  <sheetFormatPr defaultRowHeight="15" x14ac:dyDescent="0.25"/>
  <cols>
    <col min="2" max="2" width="14.85546875" customWidth="1"/>
    <col min="3" max="3" width="31.140625" customWidth="1"/>
    <col min="4" max="5" width="13.42578125" customWidth="1"/>
    <col min="6" max="7" width="13.85546875" customWidth="1"/>
    <col min="8" max="8" width="12.140625" customWidth="1"/>
    <col min="9" max="9" width="13.42578125" customWidth="1"/>
  </cols>
  <sheetData>
    <row r="1" spans="1:8" ht="37.5" x14ac:dyDescent="0.25">
      <c r="A1" s="1" t="s">
        <v>15</v>
      </c>
    </row>
    <row r="2" spans="1:8" ht="15.75" thickBot="1" x14ac:dyDescent="0.3"/>
    <row r="3" spans="1:8" ht="15.75" thickBot="1" x14ac:dyDescent="0.3">
      <c r="A3" s="96" t="s">
        <v>0</v>
      </c>
      <c r="B3" s="96" t="s">
        <v>1</v>
      </c>
      <c r="C3" s="96" t="s">
        <v>19</v>
      </c>
      <c r="D3" s="96" t="s">
        <v>18</v>
      </c>
      <c r="E3" s="96" t="s">
        <v>20</v>
      </c>
      <c r="F3" s="96" t="s">
        <v>18</v>
      </c>
      <c r="G3" s="96" t="s">
        <v>21</v>
      </c>
      <c r="H3" s="96" t="s">
        <v>18</v>
      </c>
    </row>
    <row r="4" spans="1:8" ht="15.75" thickBot="1" x14ac:dyDescent="0.3">
      <c r="A4" s="97">
        <v>1</v>
      </c>
      <c r="B4" s="98" t="s">
        <v>8</v>
      </c>
      <c r="C4" s="99">
        <v>5</v>
      </c>
      <c r="D4" s="99">
        <v>25</v>
      </c>
      <c r="E4" s="99">
        <v>35</v>
      </c>
      <c r="F4" s="99">
        <v>1500</v>
      </c>
      <c r="G4" s="99">
        <v>10</v>
      </c>
      <c r="H4" s="99">
        <v>85</v>
      </c>
    </row>
    <row r="5" spans="1:8" ht="30.75" thickBot="1" x14ac:dyDescent="0.3">
      <c r="A5" s="100">
        <v>2</v>
      </c>
      <c r="B5" s="101" t="s">
        <v>105</v>
      </c>
      <c r="C5" s="102">
        <v>2</v>
      </c>
      <c r="D5" s="102">
        <v>14</v>
      </c>
      <c r="E5" s="102">
        <v>9</v>
      </c>
      <c r="F5" s="102">
        <v>38.700000000000003</v>
      </c>
      <c r="G5" s="102">
        <v>2</v>
      </c>
      <c r="H5" s="102">
        <v>69</v>
      </c>
    </row>
    <row r="6" spans="1:8" ht="30.75" thickBot="1" x14ac:dyDescent="0.3">
      <c r="A6" s="97">
        <v>3</v>
      </c>
      <c r="B6" s="98" t="s">
        <v>104</v>
      </c>
      <c r="C6" s="99">
        <v>6</v>
      </c>
      <c r="D6" s="99">
        <v>1294.3</v>
      </c>
      <c r="E6" s="99">
        <v>45</v>
      </c>
      <c r="F6" s="99">
        <v>1550</v>
      </c>
      <c r="G6" s="99">
        <v>46</v>
      </c>
      <c r="H6" s="99">
        <v>1447.4</v>
      </c>
    </row>
    <row r="7" spans="1:8" ht="30.75" thickBot="1" x14ac:dyDescent="0.3">
      <c r="A7" s="100">
        <v>4</v>
      </c>
      <c r="B7" s="101" t="s">
        <v>102</v>
      </c>
      <c r="C7" s="102">
        <v>6</v>
      </c>
      <c r="D7" s="102">
        <v>570</v>
      </c>
      <c r="E7" s="102">
        <v>29</v>
      </c>
      <c r="F7" s="102">
        <v>2703.6</v>
      </c>
      <c r="G7" s="102">
        <v>60</v>
      </c>
      <c r="H7" s="102">
        <v>569.36</v>
      </c>
    </row>
    <row r="8" spans="1:8" ht="30.75" thickBot="1" x14ac:dyDescent="0.3">
      <c r="A8" s="97">
        <v>5</v>
      </c>
      <c r="B8" s="98" t="s">
        <v>103</v>
      </c>
      <c r="C8" s="99">
        <v>2</v>
      </c>
      <c r="D8" s="99">
        <v>50</v>
      </c>
      <c r="E8" s="99">
        <v>14</v>
      </c>
      <c r="F8" s="99">
        <v>300.41000000000003</v>
      </c>
      <c r="G8" s="99">
        <v>1</v>
      </c>
      <c r="H8" s="99">
        <v>10</v>
      </c>
    </row>
    <row r="12" spans="1:8" ht="15.75" thickBot="1" x14ac:dyDescent="0.3"/>
    <row r="13" spans="1:8" ht="15.75" thickBot="1" x14ac:dyDescent="0.3">
      <c r="A13" s="96" t="s">
        <v>0</v>
      </c>
      <c r="B13" s="96" t="s">
        <v>1</v>
      </c>
      <c r="C13" s="96" t="s">
        <v>118</v>
      </c>
    </row>
    <row r="14" spans="1:8" ht="15.75" thickBot="1" x14ac:dyDescent="0.3">
      <c r="A14" s="97">
        <v>1</v>
      </c>
      <c r="B14" s="98" t="s">
        <v>8</v>
      </c>
      <c r="C14" s="99">
        <v>25</v>
      </c>
    </row>
    <row r="15" spans="1:8" ht="30.75" thickBot="1" x14ac:dyDescent="0.3">
      <c r="A15" s="100">
        <v>2</v>
      </c>
      <c r="B15" s="101" t="s">
        <v>105</v>
      </c>
      <c r="C15" s="102">
        <v>14</v>
      </c>
    </row>
    <row r="16" spans="1:8" ht="30.75" thickBot="1" x14ac:dyDescent="0.3">
      <c r="A16" s="97">
        <v>3</v>
      </c>
      <c r="B16" s="98" t="s">
        <v>104</v>
      </c>
      <c r="C16" s="99">
        <v>1294.3</v>
      </c>
    </row>
    <row r="17" spans="1:3" ht="30.75" thickBot="1" x14ac:dyDescent="0.3">
      <c r="A17" s="100">
        <v>4</v>
      </c>
      <c r="B17" s="101" t="s">
        <v>102</v>
      </c>
      <c r="C17" s="102">
        <v>570</v>
      </c>
    </row>
    <row r="18" spans="1:3" ht="30.75" thickBot="1" x14ac:dyDescent="0.3">
      <c r="A18" s="97">
        <v>5</v>
      </c>
      <c r="B18" s="98" t="s">
        <v>103</v>
      </c>
      <c r="C18" s="99">
        <v>50</v>
      </c>
    </row>
    <row r="21" spans="1:3" ht="15.75" thickBot="1" x14ac:dyDescent="0.3"/>
    <row r="22" spans="1:3" ht="15.75" thickBot="1" x14ac:dyDescent="0.3">
      <c r="A22" s="96" t="s">
        <v>0</v>
      </c>
      <c r="B22" s="96" t="s">
        <v>1</v>
      </c>
      <c r="C22" s="96" t="s">
        <v>20</v>
      </c>
    </row>
    <row r="23" spans="1:3" ht="15.75" thickBot="1" x14ac:dyDescent="0.3">
      <c r="A23" s="97">
        <v>1</v>
      </c>
      <c r="B23" s="98" t="s">
        <v>8</v>
      </c>
      <c r="C23" s="99">
        <v>35</v>
      </c>
    </row>
    <row r="24" spans="1:3" ht="30.75" thickBot="1" x14ac:dyDescent="0.3">
      <c r="A24" s="100">
        <v>2</v>
      </c>
      <c r="B24" s="101" t="s">
        <v>105</v>
      </c>
      <c r="C24" s="102">
        <v>9</v>
      </c>
    </row>
    <row r="25" spans="1:3" ht="30.75" thickBot="1" x14ac:dyDescent="0.3">
      <c r="A25" s="97">
        <v>3</v>
      </c>
      <c r="B25" s="98" t="s">
        <v>104</v>
      </c>
      <c r="C25" s="99">
        <v>45</v>
      </c>
    </row>
    <row r="26" spans="1:3" ht="30.75" thickBot="1" x14ac:dyDescent="0.3">
      <c r="A26" s="100">
        <v>4</v>
      </c>
      <c r="B26" s="101" t="s">
        <v>102</v>
      </c>
      <c r="C26" s="102">
        <v>29</v>
      </c>
    </row>
    <row r="27" spans="1:3" ht="30.75" thickBot="1" x14ac:dyDescent="0.3">
      <c r="A27" s="97">
        <v>5</v>
      </c>
      <c r="B27" s="98" t="s">
        <v>103</v>
      </c>
      <c r="C27" s="99">
        <v>14</v>
      </c>
    </row>
    <row r="29" spans="1:3" ht="15.75" thickBot="1" x14ac:dyDescent="0.3"/>
    <row r="30" spans="1:3" ht="15.75" thickBot="1" x14ac:dyDescent="0.3">
      <c r="A30" s="96" t="s">
        <v>0</v>
      </c>
      <c r="B30" s="96" t="s">
        <v>1</v>
      </c>
      <c r="C30" s="96" t="s">
        <v>21</v>
      </c>
    </row>
    <row r="31" spans="1:3" ht="15.75" thickBot="1" x14ac:dyDescent="0.3">
      <c r="A31" s="97">
        <v>1</v>
      </c>
      <c r="B31" s="98" t="s">
        <v>8</v>
      </c>
      <c r="C31" s="99">
        <v>10</v>
      </c>
    </row>
    <row r="32" spans="1:3" ht="30.75" thickBot="1" x14ac:dyDescent="0.3">
      <c r="A32" s="100">
        <v>2</v>
      </c>
      <c r="B32" s="101" t="s">
        <v>105</v>
      </c>
      <c r="C32" s="102">
        <v>2</v>
      </c>
    </row>
    <row r="33" spans="1:3" ht="30.75" thickBot="1" x14ac:dyDescent="0.3">
      <c r="A33" s="97">
        <v>3</v>
      </c>
      <c r="B33" s="98" t="s">
        <v>104</v>
      </c>
      <c r="C33" s="99">
        <v>46</v>
      </c>
    </row>
    <row r="34" spans="1:3" ht="30.75" thickBot="1" x14ac:dyDescent="0.3">
      <c r="A34" s="100">
        <v>4</v>
      </c>
      <c r="B34" s="101" t="s">
        <v>102</v>
      </c>
      <c r="C34" s="102">
        <v>60</v>
      </c>
    </row>
    <row r="35" spans="1:3" ht="30.75" thickBot="1" x14ac:dyDescent="0.3">
      <c r="A35" s="97">
        <v>5</v>
      </c>
      <c r="B35" s="98" t="s">
        <v>103</v>
      </c>
      <c r="C35" s="99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22" workbookViewId="0">
      <selection activeCell="H4" sqref="H4:I9"/>
    </sheetView>
  </sheetViews>
  <sheetFormatPr defaultRowHeight="15" x14ac:dyDescent="0.25"/>
  <cols>
    <col min="3" max="3" width="32" customWidth="1"/>
    <col min="4" max="4" width="13.7109375" customWidth="1"/>
    <col min="5" max="7" width="13.85546875" customWidth="1"/>
    <col min="11" max="11" width="14.5703125" customWidth="1"/>
  </cols>
  <sheetData>
    <row r="1" spans="1:9" ht="37.5" x14ac:dyDescent="0.25">
      <c r="B1" s="1" t="s">
        <v>14</v>
      </c>
    </row>
    <row r="3" spans="1:9" ht="15.75" thickBot="1" x14ac:dyDescent="0.3"/>
    <row r="4" spans="1:9" ht="19.5" thickBot="1" x14ac:dyDescent="0.3">
      <c r="B4" s="2" t="s">
        <v>0</v>
      </c>
      <c r="C4" s="2" t="s">
        <v>1</v>
      </c>
      <c r="D4" s="11" t="s">
        <v>16</v>
      </c>
      <c r="E4" s="11" t="s">
        <v>18</v>
      </c>
      <c r="F4" s="11" t="s">
        <v>17</v>
      </c>
      <c r="G4" s="11" t="s">
        <v>18</v>
      </c>
      <c r="H4" s="181" t="s">
        <v>116</v>
      </c>
      <c r="I4" s="181" t="s">
        <v>18</v>
      </c>
    </row>
    <row r="5" spans="1:9" ht="21.75" thickTop="1" thickBot="1" x14ac:dyDescent="0.3">
      <c r="B5" s="3">
        <v>1</v>
      </c>
      <c r="C5" s="103" t="s">
        <v>6</v>
      </c>
      <c r="D5" s="103">
        <v>3</v>
      </c>
      <c r="E5" s="104">
        <v>20</v>
      </c>
      <c r="F5" s="104">
        <v>25</v>
      </c>
      <c r="G5" s="103">
        <v>750</v>
      </c>
      <c r="H5" s="182">
        <v>1</v>
      </c>
      <c r="I5" s="182">
        <v>317</v>
      </c>
    </row>
    <row r="6" spans="1:9" ht="21" thickBot="1" x14ac:dyDescent="0.3">
      <c r="B6" s="4">
        <v>2</v>
      </c>
      <c r="C6" s="105" t="s">
        <v>7</v>
      </c>
      <c r="D6" s="105">
        <v>5</v>
      </c>
      <c r="E6" s="106">
        <v>123.98</v>
      </c>
      <c r="F6" s="106">
        <v>45</v>
      </c>
      <c r="G6" s="105">
        <v>1550</v>
      </c>
      <c r="H6" s="105">
        <v>0</v>
      </c>
      <c r="I6" s="105">
        <v>0</v>
      </c>
    </row>
    <row r="7" spans="1:9" ht="21" thickBot="1" x14ac:dyDescent="0.3">
      <c r="B7" s="5">
        <v>3</v>
      </c>
      <c r="C7" s="107" t="s">
        <v>8</v>
      </c>
      <c r="D7" s="108">
        <v>3</v>
      </c>
      <c r="E7" s="108">
        <v>79</v>
      </c>
      <c r="F7" s="108">
        <v>5</v>
      </c>
      <c r="G7" s="108">
        <v>100</v>
      </c>
      <c r="H7" s="108">
        <v>0</v>
      </c>
      <c r="I7" s="108">
        <v>0</v>
      </c>
    </row>
    <row r="8" spans="1:9" ht="21" thickBot="1" x14ac:dyDescent="0.3">
      <c r="B8" s="4">
        <v>4</v>
      </c>
      <c r="C8" s="105" t="s">
        <v>9</v>
      </c>
      <c r="D8" s="105">
        <v>5</v>
      </c>
      <c r="E8" s="106">
        <v>920</v>
      </c>
      <c r="F8" s="106">
        <v>93</v>
      </c>
      <c r="G8" s="105">
        <v>3772.98</v>
      </c>
      <c r="H8" s="105">
        <v>0</v>
      </c>
      <c r="I8" s="105">
        <v>0</v>
      </c>
    </row>
    <row r="9" spans="1:9" ht="21" thickBot="1" x14ac:dyDescent="0.3">
      <c r="B9" s="4">
        <v>5</v>
      </c>
      <c r="C9" s="107" t="s">
        <v>13</v>
      </c>
      <c r="D9" s="108">
        <v>0</v>
      </c>
      <c r="E9" s="108">
        <v>0</v>
      </c>
      <c r="F9" s="108">
        <v>5</v>
      </c>
      <c r="G9" s="108">
        <v>120</v>
      </c>
      <c r="H9" s="108">
        <v>0</v>
      </c>
      <c r="I9" s="108">
        <v>0</v>
      </c>
    </row>
    <row r="10" spans="1:9" ht="15.75" thickBot="1" x14ac:dyDescent="0.3"/>
    <row r="11" spans="1:9" ht="19.5" thickBot="1" x14ac:dyDescent="0.3">
      <c r="A11" t="s">
        <v>117</v>
      </c>
      <c r="B11" s="2" t="s">
        <v>1</v>
      </c>
      <c r="C11" s="11" t="s">
        <v>16</v>
      </c>
      <c r="D11" s="11" t="s">
        <v>18</v>
      </c>
      <c r="E11" s="11" t="s">
        <v>17</v>
      </c>
      <c r="F11" s="11" t="s">
        <v>18</v>
      </c>
      <c r="G11" s="181" t="s">
        <v>116</v>
      </c>
      <c r="H11" s="181" t="s">
        <v>18</v>
      </c>
    </row>
    <row r="12" spans="1:9" ht="37.5" thickTop="1" thickBot="1" x14ac:dyDescent="0.3">
      <c r="A12" s="4">
        <v>2</v>
      </c>
      <c r="B12" s="105" t="s">
        <v>7</v>
      </c>
      <c r="C12" s="105">
        <v>5</v>
      </c>
      <c r="D12" s="106">
        <v>123.98</v>
      </c>
      <c r="E12" s="106">
        <v>45</v>
      </c>
      <c r="F12" s="105">
        <v>1550</v>
      </c>
      <c r="G12" s="105">
        <v>0</v>
      </c>
      <c r="H12" s="105">
        <v>0</v>
      </c>
    </row>
    <row r="13" spans="1:9" ht="15.75" thickBot="1" x14ac:dyDescent="0.3"/>
    <row r="14" spans="1:9" ht="19.5" thickBot="1" x14ac:dyDescent="0.3">
      <c r="B14" s="2" t="s">
        <v>1</v>
      </c>
      <c r="C14" s="11" t="s">
        <v>16</v>
      </c>
      <c r="D14" s="11" t="s">
        <v>18</v>
      </c>
      <c r="E14" s="11" t="s">
        <v>17</v>
      </c>
      <c r="F14" s="11" t="s">
        <v>18</v>
      </c>
      <c r="G14" s="181" t="s">
        <v>116</v>
      </c>
      <c r="H14" s="181" t="s">
        <v>18</v>
      </c>
    </row>
    <row r="15" spans="1:9" ht="37.5" thickTop="1" thickBot="1" x14ac:dyDescent="0.3">
      <c r="A15" s="5">
        <v>3</v>
      </c>
      <c r="B15" s="107" t="s">
        <v>8</v>
      </c>
      <c r="C15" s="108">
        <v>3</v>
      </c>
      <c r="D15" s="108">
        <v>79</v>
      </c>
      <c r="E15" s="108">
        <v>5</v>
      </c>
      <c r="F15" s="108">
        <v>100</v>
      </c>
      <c r="G15" s="108">
        <v>0</v>
      </c>
      <c r="H15" s="108">
        <v>0</v>
      </c>
    </row>
    <row r="16" spans="1:9" ht="15.75" thickBot="1" x14ac:dyDescent="0.3"/>
    <row r="17" spans="1:8" ht="19.5" thickBot="1" x14ac:dyDescent="0.3">
      <c r="B17" s="2" t="s">
        <v>1</v>
      </c>
      <c r="C17" s="11" t="s">
        <v>16</v>
      </c>
      <c r="D17" s="11" t="s">
        <v>18</v>
      </c>
      <c r="E17" s="11" t="s">
        <v>17</v>
      </c>
      <c r="F17" s="11" t="s">
        <v>18</v>
      </c>
      <c r="G17" s="181" t="s">
        <v>116</v>
      </c>
      <c r="H17" s="181" t="s">
        <v>18</v>
      </c>
    </row>
    <row r="18" spans="1:8" ht="37.5" thickTop="1" thickBot="1" x14ac:dyDescent="0.3">
      <c r="A18" s="4">
        <v>4</v>
      </c>
      <c r="B18" s="105" t="s">
        <v>9</v>
      </c>
      <c r="C18" s="105">
        <v>5</v>
      </c>
      <c r="D18" s="106">
        <v>920</v>
      </c>
      <c r="E18" s="106">
        <v>93</v>
      </c>
      <c r="F18" s="105">
        <v>3772.98</v>
      </c>
      <c r="G18" s="105">
        <v>0</v>
      </c>
      <c r="H18" s="105">
        <v>0</v>
      </c>
    </row>
    <row r="19" spans="1:8" ht="15.75" thickBot="1" x14ac:dyDescent="0.3"/>
    <row r="20" spans="1:8" ht="19.5" thickBot="1" x14ac:dyDescent="0.3">
      <c r="B20" s="2" t="s">
        <v>1</v>
      </c>
      <c r="C20" s="11" t="s">
        <v>16</v>
      </c>
      <c r="D20" s="11" t="s">
        <v>18</v>
      </c>
      <c r="E20" s="11" t="s">
        <v>17</v>
      </c>
      <c r="F20" s="11" t="s">
        <v>18</v>
      </c>
      <c r="G20" s="181" t="s">
        <v>116</v>
      </c>
      <c r="H20" s="181" t="s">
        <v>18</v>
      </c>
    </row>
    <row r="21" spans="1:8" ht="37.5" thickTop="1" thickBot="1" x14ac:dyDescent="0.3">
      <c r="A21" s="4">
        <v>5</v>
      </c>
      <c r="B21" s="107" t="s">
        <v>13</v>
      </c>
      <c r="C21" s="108">
        <v>0</v>
      </c>
      <c r="D21" s="108">
        <v>0</v>
      </c>
      <c r="E21" s="108">
        <v>5</v>
      </c>
      <c r="F21" s="108">
        <v>120</v>
      </c>
      <c r="G21" s="108">
        <v>0</v>
      </c>
      <c r="H21" s="108">
        <v>0</v>
      </c>
    </row>
    <row r="24" spans="1:8" ht="15.75" thickBot="1" x14ac:dyDescent="0.3"/>
    <row r="25" spans="1:8" ht="19.5" thickBot="1" x14ac:dyDescent="0.3">
      <c r="A25" s="2" t="s">
        <v>0</v>
      </c>
      <c r="B25" s="2" t="s">
        <v>1</v>
      </c>
      <c r="C25" s="11" t="s">
        <v>16</v>
      </c>
    </row>
    <row r="26" spans="1:8" ht="37.5" thickTop="1" thickBot="1" x14ac:dyDescent="0.3">
      <c r="A26" s="3">
        <v>1</v>
      </c>
      <c r="B26" s="103" t="s">
        <v>6</v>
      </c>
      <c r="C26" s="103">
        <v>3</v>
      </c>
    </row>
    <row r="27" spans="1:8" ht="36.75" thickBot="1" x14ac:dyDescent="0.3">
      <c r="A27" s="4">
        <v>2</v>
      </c>
      <c r="B27" s="105" t="s">
        <v>7</v>
      </c>
      <c r="C27" s="105">
        <v>5</v>
      </c>
    </row>
    <row r="28" spans="1:8" ht="36.75" thickBot="1" x14ac:dyDescent="0.3">
      <c r="A28" s="5">
        <v>3</v>
      </c>
      <c r="B28" s="107" t="s">
        <v>8</v>
      </c>
      <c r="C28" s="108">
        <v>3</v>
      </c>
    </row>
    <row r="29" spans="1:8" ht="36.75" thickBot="1" x14ac:dyDescent="0.3">
      <c r="A29" s="4">
        <v>4</v>
      </c>
      <c r="B29" s="105" t="s">
        <v>9</v>
      </c>
      <c r="C29" s="105">
        <v>5</v>
      </c>
    </row>
    <row r="30" spans="1:8" ht="36.75" thickBot="1" x14ac:dyDescent="0.3">
      <c r="A30" s="4">
        <v>5</v>
      </c>
      <c r="B30" s="107" t="s">
        <v>13</v>
      </c>
      <c r="C30" s="108">
        <v>0</v>
      </c>
    </row>
    <row r="33" spans="1:3" ht="15.75" thickBot="1" x14ac:dyDescent="0.3"/>
    <row r="34" spans="1:3" ht="19.5" thickBot="1" x14ac:dyDescent="0.3">
      <c r="A34" s="2" t="s">
        <v>0</v>
      </c>
      <c r="B34" s="2" t="s">
        <v>1</v>
      </c>
      <c r="C34" s="11" t="s">
        <v>17</v>
      </c>
    </row>
    <row r="35" spans="1:3" ht="37.5" thickTop="1" thickBot="1" x14ac:dyDescent="0.3">
      <c r="A35" s="3">
        <v>1</v>
      </c>
      <c r="B35" s="103" t="s">
        <v>6</v>
      </c>
      <c r="C35" s="104">
        <v>25</v>
      </c>
    </row>
    <row r="36" spans="1:3" ht="36.75" thickBot="1" x14ac:dyDescent="0.3">
      <c r="A36" s="4">
        <v>2</v>
      </c>
      <c r="B36" s="105" t="s">
        <v>7</v>
      </c>
      <c r="C36" s="106">
        <v>45</v>
      </c>
    </row>
    <row r="37" spans="1:3" ht="36.75" thickBot="1" x14ac:dyDescent="0.3">
      <c r="A37" s="5">
        <v>3</v>
      </c>
      <c r="B37" s="107" t="s">
        <v>8</v>
      </c>
      <c r="C37" s="108">
        <v>5</v>
      </c>
    </row>
    <row r="38" spans="1:3" ht="36.75" thickBot="1" x14ac:dyDescent="0.3">
      <c r="A38" s="4">
        <v>4</v>
      </c>
      <c r="B38" s="105" t="s">
        <v>9</v>
      </c>
      <c r="C38" s="106">
        <v>93</v>
      </c>
    </row>
    <row r="39" spans="1:3" ht="36.75" thickBot="1" x14ac:dyDescent="0.3">
      <c r="A39" s="4">
        <v>5</v>
      </c>
      <c r="B39" s="107" t="s">
        <v>13</v>
      </c>
      <c r="C39" s="108">
        <v>5</v>
      </c>
    </row>
    <row r="41" spans="1:3" ht="15.75" thickBot="1" x14ac:dyDescent="0.3"/>
    <row r="42" spans="1:3" ht="19.5" thickBot="1" x14ac:dyDescent="0.3">
      <c r="A42" s="2" t="s">
        <v>0</v>
      </c>
      <c r="B42" s="2" t="s">
        <v>1</v>
      </c>
      <c r="C42" s="181" t="s">
        <v>116</v>
      </c>
    </row>
    <row r="43" spans="1:3" ht="37.5" thickTop="1" thickBot="1" x14ac:dyDescent="0.3">
      <c r="A43" s="3">
        <v>1</v>
      </c>
      <c r="B43" s="103" t="s">
        <v>6</v>
      </c>
      <c r="C43" s="182">
        <v>1</v>
      </c>
    </row>
    <row r="44" spans="1:3" ht="36.75" thickBot="1" x14ac:dyDescent="0.3">
      <c r="A44" s="4">
        <v>2</v>
      </c>
      <c r="B44" s="105" t="s">
        <v>7</v>
      </c>
      <c r="C44" s="105">
        <v>0</v>
      </c>
    </row>
    <row r="45" spans="1:3" ht="36.75" thickBot="1" x14ac:dyDescent="0.3">
      <c r="A45" s="5">
        <v>3</v>
      </c>
      <c r="B45" s="107" t="s">
        <v>8</v>
      </c>
      <c r="C45" s="108">
        <v>0</v>
      </c>
    </row>
    <row r="46" spans="1:3" ht="36.75" thickBot="1" x14ac:dyDescent="0.3">
      <c r="A46" s="4">
        <v>4</v>
      </c>
      <c r="B46" s="105" t="s">
        <v>9</v>
      </c>
      <c r="C46" s="105">
        <v>0</v>
      </c>
    </row>
    <row r="47" spans="1:3" ht="36.75" thickBot="1" x14ac:dyDescent="0.3">
      <c r="A47" s="4">
        <v>5</v>
      </c>
      <c r="B47" s="107" t="s">
        <v>13</v>
      </c>
      <c r="C47" s="108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showGridLines="0" zoomScale="62" zoomScaleNormal="62" workbookViewId="0">
      <selection activeCell="P40" sqref="P40"/>
    </sheetView>
  </sheetViews>
  <sheetFormatPr defaultRowHeight="15" x14ac:dyDescent="0.25"/>
  <cols>
    <col min="2" max="4" width="15.7109375" customWidth="1"/>
    <col min="7" max="8" width="13.28515625" customWidth="1"/>
  </cols>
  <sheetData>
    <row r="1" spans="1:8" ht="37.5" x14ac:dyDescent="0.25">
      <c r="A1" s="1" t="s">
        <v>108</v>
      </c>
    </row>
    <row r="3" spans="1:8" ht="15.75" thickBot="1" x14ac:dyDescent="0.3"/>
    <row r="4" spans="1:8" ht="18.75" thickBot="1" x14ac:dyDescent="0.3">
      <c r="A4" s="111" t="s">
        <v>0</v>
      </c>
      <c r="B4" s="111" t="s">
        <v>1</v>
      </c>
      <c r="C4" s="111" t="s">
        <v>22</v>
      </c>
      <c r="D4" s="111" t="s">
        <v>23</v>
      </c>
      <c r="F4" s="111" t="s">
        <v>0</v>
      </c>
      <c r="G4" s="111" t="s">
        <v>1</v>
      </c>
      <c r="H4" s="111" t="s">
        <v>23</v>
      </c>
    </row>
    <row r="5" spans="1:8" ht="21" thickTop="1" thickBot="1" x14ac:dyDescent="0.3">
      <c r="A5" s="112">
        <v>1</v>
      </c>
      <c r="B5" s="113" t="s">
        <v>6</v>
      </c>
      <c r="C5" s="114">
        <v>9</v>
      </c>
      <c r="D5" s="114">
        <v>5</v>
      </c>
      <c r="F5" s="112">
        <v>1</v>
      </c>
      <c r="G5" s="113" t="s">
        <v>6</v>
      </c>
      <c r="H5" s="114">
        <v>5</v>
      </c>
    </row>
    <row r="6" spans="1:8" ht="20.25" thickBot="1" x14ac:dyDescent="0.3">
      <c r="A6" s="115">
        <v>2</v>
      </c>
      <c r="B6" s="109" t="s">
        <v>7</v>
      </c>
      <c r="C6" s="110">
        <v>2</v>
      </c>
      <c r="D6" s="110">
        <v>0</v>
      </c>
      <c r="F6" s="115">
        <v>2</v>
      </c>
      <c r="G6" s="109" t="s">
        <v>7</v>
      </c>
      <c r="H6" s="110">
        <v>0</v>
      </c>
    </row>
    <row r="7" spans="1:8" ht="20.25" thickBot="1" x14ac:dyDescent="0.3">
      <c r="A7" s="116">
        <v>3</v>
      </c>
      <c r="B7" s="117" t="s">
        <v>8</v>
      </c>
      <c r="C7" s="118">
        <v>8</v>
      </c>
      <c r="D7" s="118">
        <v>0</v>
      </c>
      <c r="F7" s="116">
        <v>3</v>
      </c>
      <c r="G7" s="117" t="s">
        <v>8</v>
      </c>
      <c r="H7" s="118">
        <v>0</v>
      </c>
    </row>
    <row r="8" spans="1:8" ht="20.25" thickBot="1" x14ac:dyDescent="0.3">
      <c r="A8" s="115">
        <v>4</v>
      </c>
      <c r="B8" s="109" t="s">
        <v>9</v>
      </c>
      <c r="C8" s="110">
        <v>12</v>
      </c>
      <c r="D8" s="110">
        <v>3</v>
      </c>
      <c r="F8" s="115">
        <v>4</v>
      </c>
      <c r="G8" s="109" t="s">
        <v>9</v>
      </c>
      <c r="H8" s="110">
        <v>3</v>
      </c>
    </row>
    <row r="9" spans="1:8" ht="36.75" thickBot="1" x14ac:dyDescent="0.3">
      <c r="A9" s="116">
        <v>5</v>
      </c>
      <c r="B9" s="117" t="s">
        <v>106</v>
      </c>
      <c r="C9" s="118">
        <v>3</v>
      </c>
      <c r="D9" s="118">
        <v>1</v>
      </c>
      <c r="F9" s="116">
        <v>5</v>
      </c>
      <c r="G9" s="117" t="s">
        <v>106</v>
      </c>
      <c r="H9" s="118">
        <v>1</v>
      </c>
    </row>
    <row r="39" spans="1:8" ht="34.5" x14ac:dyDescent="0.25">
      <c r="A39" s="119" t="s">
        <v>107</v>
      </c>
    </row>
    <row r="44" spans="1:8" ht="15.75" thickBot="1" x14ac:dyDescent="0.3"/>
    <row r="45" spans="1:8" ht="18.75" thickBot="1" x14ac:dyDescent="0.3">
      <c r="A45" s="111" t="s">
        <v>0</v>
      </c>
      <c r="B45" s="111" t="s">
        <v>1</v>
      </c>
      <c r="C45" s="111" t="s">
        <v>22</v>
      </c>
      <c r="D45" s="111" t="s">
        <v>23</v>
      </c>
      <c r="G45" s="111" t="s">
        <v>1</v>
      </c>
      <c r="H45" s="111" t="s">
        <v>23</v>
      </c>
    </row>
    <row r="46" spans="1:8" ht="24.75" thickTop="1" thickBot="1" x14ac:dyDescent="0.3">
      <c r="A46" s="112">
        <v>1</v>
      </c>
      <c r="B46" s="113" t="s">
        <v>6</v>
      </c>
      <c r="C46" s="120">
        <v>10</v>
      </c>
      <c r="D46" s="120">
        <v>4</v>
      </c>
      <c r="G46" s="113" t="s">
        <v>6</v>
      </c>
      <c r="H46" s="120">
        <v>4</v>
      </c>
    </row>
    <row r="47" spans="1:8" ht="24" thickBot="1" x14ac:dyDescent="0.3">
      <c r="A47" s="115">
        <v>2</v>
      </c>
      <c r="B47" s="109" t="s">
        <v>7</v>
      </c>
      <c r="C47" s="121">
        <v>15</v>
      </c>
      <c r="D47" s="121">
        <v>7</v>
      </c>
      <c r="G47" s="109" t="s">
        <v>7</v>
      </c>
      <c r="H47" s="121">
        <v>7</v>
      </c>
    </row>
    <row r="48" spans="1:8" ht="24" thickBot="1" x14ac:dyDescent="0.3">
      <c r="A48" s="116">
        <v>3</v>
      </c>
      <c r="B48" s="117" t="s">
        <v>8</v>
      </c>
      <c r="C48" s="122">
        <v>17</v>
      </c>
      <c r="D48" s="122">
        <v>15</v>
      </c>
      <c r="G48" s="117" t="s">
        <v>8</v>
      </c>
      <c r="H48" s="122">
        <v>15</v>
      </c>
    </row>
    <row r="49" spans="1:8" ht="24" thickBot="1" x14ac:dyDescent="0.3">
      <c r="A49" s="115">
        <v>4</v>
      </c>
      <c r="B49" s="109" t="s">
        <v>9</v>
      </c>
      <c r="C49" s="121">
        <v>20</v>
      </c>
      <c r="D49" s="121">
        <v>20</v>
      </c>
      <c r="G49" s="109" t="s">
        <v>9</v>
      </c>
      <c r="H49" s="121">
        <v>20</v>
      </c>
    </row>
    <row r="50" spans="1:8" ht="36.75" thickBot="1" x14ac:dyDescent="0.3">
      <c r="A50" s="116">
        <v>5</v>
      </c>
      <c r="B50" s="117" t="s">
        <v>106</v>
      </c>
      <c r="C50" s="122">
        <v>5</v>
      </c>
      <c r="D50" s="122">
        <v>10</v>
      </c>
      <c r="G50" s="117" t="s">
        <v>106</v>
      </c>
      <c r="H50" s="122">
        <v>10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showGridLines="0" zoomScale="70" zoomScaleNormal="70" workbookViewId="0">
      <selection activeCell="B15" sqref="B15"/>
    </sheetView>
  </sheetViews>
  <sheetFormatPr defaultRowHeight="15" x14ac:dyDescent="0.25"/>
  <cols>
    <col min="1" max="1" width="11" customWidth="1"/>
    <col min="2" max="2" width="26.28515625" customWidth="1"/>
    <col min="3" max="3" width="21.42578125" customWidth="1"/>
    <col min="4" max="4" width="18.5703125" customWidth="1"/>
  </cols>
  <sheetData>
    <row r="1" spans="1:4" ht="37.5" x14ac:dyDescent="0.45">
      <c r="A1" s="13" t="s">
        <v>24</v>
      </c>
    </row>
    <row r="2" spans="1:4" ht="37.5" x14ac:dyDescent="0.45">
      <c r="A2" s="13"/>
    </row>
    <row r="4" spans="1:4" ht="21" x14ac:dyDescent="0.35">
      <c r="A4" s="46" t="s">
        <v>25</v>
      </c>
      <c r="B4" s="28"/>
    </row>
    <row r="5" spans="1:4" ht="15.75" thickBot="1" x14ac:dyDescent="0.3"/>
    <row r="6" spans="1:4" ht="32.25" thickBot="1" x14ac:dyDescent="0.3">
      <c r="A6" s="14" t="s">
        <v>26</v>
      </c>
      <c r="B6" s="15" t="s">
        <v>27</v>
      </c>
      <c r="C6" s="15" t="s">
        <v>28</v>
      </c>
      <c r="D6" s="15" t="s">
        <v>29</v>
      </c>
    </row>
    <row r="7" spans="1:4" ht="31.5" thickTop="1" thickBot="1" x14ac:dyDescent="0.3">
      <c r="A7" s="16">
        <v>1</v>
      </c>
      <c r="B7" s="17" t="s">
        <v>30</v>
      </c>
      <c r="C7" s="18">
        <v>134</v>
      </c>
      <c r="D7" s="19">
        <v>5144</v>
      </c>
    </row>
    <row r="8" spans="1:4" ht="30.75" thickBot="1" x14ac:dyDescent="0.3">
      <c r="A8" s="20">
        <v>2</v>
      </c>
      <c r="B8" s="21" t="s">
        <v>31</v>
      </c>
      <c r="C8" s="22">
        <v>249</v>
      </c>
      <c r="D8" s="23">
        <v>10715</v>
      </c>
    </row>
    <row r="9" spans="1:4" ht="60.75" thickBot="1" x14ac:dyDescent="0.3">
      <c r="A9" s="24">
        <v>3</v>
      </c>
      <c r="B9" s="25" t="s">
        <v>32</v>
      </c>
      <c r="C9" s="26">
        <v>367</v>
      </c>
      <c r="D9" s="27">
        <v>30949</v>
      </c>
    </row>
    <row r="25" spans="1:4" ht="25.5" x14ac:dyDescent="0.25">
      <c r="A25" s="29" t="s">
        <v>33</v>
      </c>
    </row>
    <row r="26" spans="1:4" ht="15.75" thickBot="1" x14ac:dyDescent="0.3"/>
    <row r="27" spans="1:4" ht="32.25" thickBot="1" x14ac:dyDescent="0.3">
      <c r="A27" s="15" t="s">
        <v>26</v>
      </c>
      <c r="B27" s="15" t="s">
        <v>34</v>
      </c>
      <c r="C27" s="15" t="s">
        <v>28</v>
      </c>
      <c r="D27" s="15" t="s">
        <v>35</v>
      </c>
    </row>
    <row r="28" spans="1:4" ht="16.5" thickTop="1" thickBot="1" x14ac:dyDescent="0.3">
      <c r="A28" s="30">
        <v>1</v>
      </c>
      <c r="B28" s="31" t="s">
        <v>36</v>
      </c>
      <c r="C28" s="32">
        <v>7</v>
      </c>
      <c r="D28" s="32">
        <v>143</v>
      </c>
    </row>
    <row r="29" spans="1:4" ht="15.75" thickBot="1" x14ac:dyDescent="0.3">
      <c r="A29" s="33">
        <v>2</v>
      </c>
      <c r="B29" s="34" t="s">
        <v>37</v>
      </c>
      <c r="C29" s="35">
        <v>28</v>
      </c>
      <c r="D29" s="35">
        <v>793</v>
      </c>
    </row>
    <row r="30" spans="1:4" ht="15.75" thickBot="1" x14ac:dyDescent="0.3">
      <c r="A30" s="36">
        <v>3</v>
      </c>
      <c r="B30" s="37" t="s">
        <v>38</v>
      </c>
      <c r="C30" s="38">
        <v>1</v>
      </c>
      <c r="D30" s="38">
        <v>15</v>
      </c>
    </row>
    <row r="31" spans="1:4" ht="15.75" thickBot="1" x14ac:dyDescent="0.3">
      <c r="A31" s="33">
        <v>4</v>
      </c>
      <c r="B31" s="34" t="s">
        <v>39</v>
      </c>
      <c r="C31" s="35">
        <v>6</v>
      </c>
      <c r="D31" s="35">
        <v>179</v>
      </c>
    </row>
    <row r="32" spans="1:4" ht="15.75" thickBot="1" x14ac:dyDescent="0.3">
      <c r="A32" s="36">
        <v>5</v>
      </c>
      <c r="B32" s="37" t="s">
        <v>40</v>
      </c>
      <c r="C32" s="38">
        <v>15</v>
      </c>
      <c r="D32" s="39">
        <v>1241</v>
      </c>
    </row>
    <row r="33" spans="1:4" ht="15.75" thickBot="1" x14ac:dyDescent="0.3">
      <c r="A33" s="36">
        <v>6</v>
      </c>
      <c r="B33" s="37" t="s">
        <v>41</v>
      </c>
      <c r="C33" s="38">
        <v>1</v>
      </c>
      <c r="D33" s="38">
        <v>22</v>
      </c>
    </row>
    <row r="34" spans="1:4" ht="15.75" thickBot="1" x14ac:dyDescent="0.3">
      <c r="A34" s="33">
        <v>7</v>
      </c>
      <c r="B34" s="34" t="s">
        <v>42</v>
      </c>
      <c r="C34" s="35">
        <v>5</v>
      </c>
      <c r="D34" s="35">
        <v>261</v>
      </c>
    </row>
    <row r="35" spans="1:4" ht="15.75" thickBot="1" x14ac:dyDescent="0.3">
      <c r="A35" s="36">
        <v>8</v>
      </c>
      <c r="B35" s="37" t="s">
        <v>43</v>
      </c>
      <c r="C35" s="38">
        <v>8</v>
      </c>
      <c r="D35" s="38">
        <v>619</v>
      </c>
    </row>
    <row r="36" spans="1:4" ht="15.75" thickBot="1" x14ac:dyDescent="0.3">
      <c r="A36" s="33">
        <v>9</v>
      </c>
      <c r="B36" s="34" t="s">
        <v>44</v>
      </c>
      <c r="C36" s="35">
        <v>21</v>
      </c>
      <c r="D36" s="35">
        <v>775</v>
      </c>
    </row>
    <row r="37" spans="1:4" ht="15.75" thickBot="1" x14ac:dyDescent="0.3">
      <c r="A37" s="33">
        <v>10</v>
      </c>
      <c r="B37" s="34" t="s">
        <v>45</v>
      </c>
      <c r="C37" s="35">
        <v>1</v>
      </c>
      <c r="D37" s="35">
        <v>35</v>
      </c>
    </row>
    <row r="38" spans="1:4" ht="15.75" thickBot="1" x14ac:dyDescent="0.3">
      <c r="A38" s="33">
        <v>11</v>
      </c>
      <c r="B38" s="34" t="s">
        <v>46</v>
      </c>
      <c r="C38" s="35">
        <v>3</v>
      </c>
      <c r="D38" s="35">
        <v>84</v>
      </c>
    </row>
    <row r="39" spans="1:4" ht="15.75" thickBot="1" x14ac:dyDescent="0.3">
      <c r="A39" s="33">
        <v>12</v>
      </c>
      <c r="B39" s="34" t="s">
        <v>47</v>
      </c>
      <c r="C39" s="35">
        <v>2</v>
      </c>
      <c r="D39" s="35">
        <v>102</v>
      </c>
    </row>
    <row r="40" spans="1:4" ht="15.75" thickBot="1" x14ac:dyDescent="0.3">
      <c r="A40" s="36">
        <v>13</v>
      </c>
      <c r="B40" s="37" t="s">
        <v>48</v>
      </c>
      <c r="C40" s="38">
        <v>4</v>
      </c>
      <c r="D40" s="38">
        <v>112</v>
      </c>
    </row>
    <row r="41" spans="1:4" ht="15.75" thickBot="1" x14ac:dyDescent="0.3">
      <c r="A41" s="36">
        <v>14</v>
      </c>
      <c r="B41" s="37" t="s">
        <v>49</v>
      </c>
      <c r="C41" s="38">
        <v>3</v>
      </c>
      <c r="D41" s="38">
        <v>56</v>
      </c>
    </row>
    <row r="42" spans="1:4" ht="15.75" thickBot="1" x14ac:dyDescent="0.3">
      <c r="A42" s="36">
        <v>15</v>
      </c>
      <c r="B42" s="37" t="s">
        <v>50</v>
      </c>
      <c r="C42" s="38">
        <v>2</v>
      </c>
      <c r="D42" s="38">
        <v>68</v>
      </c>
    </row>
    <row r="43" spans="1:4" ht="15.75" thickBot="1" x14ac:dyDescent="0.3">
      <c r="A43" s="36">
        <v>16</v>
      </c>
      <c r="B43" s="37" t="s">
        <v>51</v>
      </c>
      <c r="C43" s="38">
        <v>25</v>
      </c>
      <c r="D43" s="38">
        <v>590</v>
      </c>
    </row>
    <row r="44" spans="1:4" ht="15.75" thickBot="1" x14ac:dyDescent="0.3">
      <c r="A44" s="33">
        <v>17</v>
      </c>
      <c r="B44" s="34" t="s">
        <v>52</v>
      </c>
      <c r="C44" s="35">
        <v>2</v>
      </c>
      <c r="D44" s="35">
        <v>49</v>
      </c>
    </row>
    <row r="45" spans="1:4" ht="15.75" thickBot="1" x14ac:dyDescent="0.3">
      <c r="A45" s="40"/>
      <c r="B45" s="41" t="s">
        <v>53</v>
      </c>
      <c r="C45" s="42">
        <v>134</v>
      </c>
      <c r="D45" s="43">
        <v>5144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showGridLines="0" zoomScale="71" zoomScaleNormal="71" workbookViewId="0">
      <selection activeCell="D45" sqref="D45"/>
    </sheetView>
  </sheetViews>
  <sheetFormatPr defaultRowHeight="15" x14ac:dyDescent="0.25"/>
  <cols>
    <col min="2" max="2" width="21.28515625" customWidth="1"/>
    <col min="3" max="3" width="19.5703125" customWidth="1"/>
    <col min="4" max="4" width="19.42578125" customWidth="1"/>
  </cols>
  <sheetData>
    <row r="1" spans="1:4" ht="34.5" x14ac:dyDescent="0.45">
      <c r="A1" s="44" t="s">
        <v>54</v>
      </c>
    </row>
    <row r="6" spans="1:4" ht="18" x14ac:dyDescent="0.25">
      <c r="A6" s="45" t="s">
        <v>55</v>
      </c>
    </row>
    <row r="7" spans="1:4" ht="15.75" thickBot="1" x14ac:dyDescent="0.3"/>
    <row r="8" spans="1:4" ht="39.75" thickBot="1" x14ac:dyDescent="0.3">
      <c r="A8" s="123" t="s">
        <v>26</v>
      </c>
      <c r="B8" s="124" t="s">
        <v>27</v>
      </c>
      <c r="C8" s="124" t="s">
        <v>28</v>
      </c>
      <c r="D8" s="125" t="s">
        <v>29</v>
      </c>
    </row>
    <row r="9" spans="1:4" ht="21" thickBot="1" x14ac:dyDescent="0.3">
      <c r="A9" s="126">
        <v>1</v>
      </c>
      <c r="B9" s="127" t="s">
        <v>30</v>
      </c>
      <c r="C9" s="128">
        <v>18</v>
      </c>
      <c r="D9" s="129">
        <v>1228</v>
      </c>
    </row>
    <row r="10" spans="1:4" ht="21" thickBot="1" x14ac:dyDescent="0.3">
      <c r="A10" s="130">
        <v>2</v>
      </c>
      <c r="B10" s="131" t="s">
        <v>31</v>
      </c>
      <c r="C10" s="132">
        <v>8</v>
      </c>
      <c r="D10" s="133">
        <v>756</v>
      </c>
    </row>
    <row r="11" spans="1:4" ht="41.25" thickBot="1" x14ac:dyDescent="0.3">
      <c r="A11" s="126">
        <v>3</v>
      </c>
      <c r="B11" s="127" t="s">
        <v>32</v>
      </c>
      <c r="C11" s="128">
        <v>25</v>
      </c>
      <c r="D11" s="129">
        <v>2294</v>
      </c>
    </row>
    <row r="25" spans="1:4" ht="18" x14ac:dyDescent="0.25">
      <c r="A25" s="45" t="s">
        <v>33</v>
      </c>
    </row>
    <row r="26" spans="1:4" ht="15.75" thickBot="1" x14ac:dyDescent="0.3"/>
    <row r="27" spans="1:4" ht="32.25" thickBot="1" x14ac:dyDescent="0.3">
      <c r="A27" s="15" t="s">
        <v>26</v>
      </c>
      <c r="B27" s="15" t="s">
        <v>34</v>
      </c>
      <c r="C27" s="15" t="s">
        <v>28</v>
      </c>
      <c r="D27" s="15" t="s">
        <v>29</v>
      </c>
    </row>
    <row r="28" spans="1:4" ht="16.5" thickTop="1" thickBot="1" x14ac:dyDescent="0.3">
      <c r="A28" s="47">
        <v>1</v>
      </c>
      <c r="B28" s="48" t="s">
        <v>56</v>
      </c>
      <c r="C28" s="49">
        <v>2</v>
      </c>
      <c r="D28" s="49">
        <v>112</v>
      </c>
    </row>
    <row r="29" spans="1:4" ht="15.75" thickBot="1" x14ac:dyDescent="0.3">
      <c r="A29" s="50">
        <v>2</v>
      </c>
      <c r="B29" s="51" t="s">
        <v>37</v>
      </c>
      <c r="C29" s="52">
        <v>3</v>
      </c>
      <c r="D29" s="52">
        <v>89</v>
      </c>
    </row>
    <row r="30" spans="1:4" ht="15.75" thickBot="1" x14ac:dyDescent="0.3">
      <c r="A30" s="24">
        <v>3</v>
      </c>
      <c r="B30" s="25" t="s">
        <v>39</v>
      </c>
      <c r="C30" s="53">
        <v>1</v>
      </c>
      <c r="D30" s="53">
        <v>50</v>
      </c>
    </row>
    <row r="31" spans="1:4" ht="15.75" thickBot="1" x14ac:dyDescent="0.3">
      <c r="A31" s="20">
        <v>4</v>
      </c>
      <c r="B31" s="21" t="s">
        <v>42</v>
      </c>
      <c r="C31" s="54">
        <v>2</v>
      </c>
      <c r="D31" s="54">
        <v>426</v>
      </c>
    </row>
    <row r="32" spans="1:4" ht="15.75" thickBot="1" x14ac:dyDescent="0.3">
      <c r="A32" s="50">
        <v>5</v>
      </c>
      <c r="B32" s="51" t="s">
        <v>44</v>
      </c>
      <c r="C32" s="52">
        <v>6</v>
      </c>
      <c r="D32" s="52">
        <v>404</v>
      </c>
    </row>
    <row r="33" spans="1:4" ht="15.75" thickBot="1" x14ac:dyDescent="0.3">
      <c r="A33" s="50">
        <v>6</v>
      </c>
      <c r="B33" s="51" t="s">
        <v>45</v>
      </c>
      <c r="C33" s="55">
        <v>1</v>
      </c>
      <c r="D33" s="55">
        <v>35</v>
      </c>
    </row>
    <row r="34" spans="1:4" ht="15.75" thickBot="1" x14ac:dyDescent="0.3">
      <c r="A34" s="24">
        <v>7</v>
      </c>
      <c r="B34" s="25" t="s">
        <v>49</v>
      </c>
      <c r="C34" s="26">
        <v>2</v>
      </c>
      <c r="D34" s="26">
        <v>92</v>
      </c>
    </row>
    <row r="35" spans="1:4" ht="15.75" thickBot="1" x14ac:dyDescent="0.3">
      <c r="A35" s="20">
        <v>8</v>
      </c>
      <c r="B35" s="21" t="s">
        <v>50</v>
      </c>
      <c r="C35" s="22">
        <v>1</v>
      </c>
      <c r="D35" s="22">
        <v>20</v>
      </c>
    </row>
    <row r="36" spans="1:4" ht="24" thickBot="1" x14ac:dyDescent="0.3">
      <c r="A36" s="56"/>
      <c r="B36" s="57" t="s">
        <v>53</v>
      </c>
      <c r="C36" s="58">
        <v>18</v>
      </c>
      <c r="D36" s="59">
        <v>1228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showGridLines="0" zoomScale="64" zoomScaleNormal="64" workbookViewId="0">
      <selection activeCell="D19" sqref="D19"/>
    </sheetView>
  </sheetViews>
  <sheetFormatPr defaultRowHeight="15" x14ac:dyDescent="0.25"/>
  <cols>
    <col min="2" max="2" width="29.28515625" customWidth="1"/>
    <col min="3" max="3" width="29" customWidth="1"/>
    <col min="4" max="4" width="37.140625" customWidth="1"/>
  </cols>
  <sheetData>
    <row r="1" spans="1:4" ht="32.25" x14ac:dyDescent="0.4">
      <c r="A1" s="60" t="s">
        <v>57</v>
      </c>
    </row>
    <row r="4" spans="1:4" ht="18" x14ac:dyDescent="0.25">
      <c r="A4" s="45" t="s">
        <v>58</v>
      </c>
    </row>
    <row r="5" spans="1:4" ht="15.75" thickBot="1" x14ac:dyDescent="0.3"/>
    <row r="6" spans="1:4" ht="45.75" thickBot="1" x14ac:dyDescent="0.3">
      <c r="A6" s="148" t="s">
        <v>26</v>
      </c>
      <c r="B6" s="149" t="s">
        <v>27</v>
      </c>
      <c r="C6" s="149" t="s">
        <v>28</v>
      </c>
      <c r="D6" s="150" t="s">
        <v>59</v>
      </c>
    </row>
    <row r="7" spans="1:4" ht="23.25" thickBot="1" x14ac:dyDescent="0.3">
      <c r="A7" s="151">
        <v>1</v>
      </c>
      <c r="B7" s="152" t="s">
        <v>30</v>
      </c>
      <c r="C7" s="153">
        <v>85</v>
      </c>
      <c r="D7" s="154">
        <v>4803</v>
      </c>
    </row>
    <row r="8" spans="1:4" ht="23.25" thickBot="1" x14ac:dyDescent="0.3">
      <c r="A8" s="155">
        <v>2</v>
      </c>
      <c r="B8" s="156" t="s">
        <v>31</v>
      </c>
      <c r="C8" s="157">
        <v>28</v>
      </c>
      <c r="D8" s="158">
        <v>3090</v>
      </c>
    </row>
    <row r="9" spans="1:4" ht="45.75" thickBot="1" x14ac:dyDescent="0.3">
      <c r="A9" s="151">
        <v>3</v>
      </c>
      <c r="B9" s="152" t="s">
        <v>32</v>
      </c>
      <c r="C9" s="153">
        <v>66</v>
      </c>
      <c r="D9" s="154">
        <v>4593</v>
      </c>
    </row>
    <row r="22" spans="1:4" ht="18" x14ac:dyDescent="0.25">
      <c r="A22" s="61" t="s">
        <v>33</v>
      </c>
    </row>
    <row r="23" spans="1:4" ht="15.75" thickBot="1" x14ac:dyDescent="0.3"/>
    <row r="24" spans="1:4" ht="36.75" thickBot="1" x14ac:dyDescent="0.3">
      <c r="A24" s="134" t="s">
        <v>26</v>
      </c>
      <c r="B24" s="135" t="s">
        <v>34</v>
      </c>
      <c r="C24" s="135" t="s">
        <v>28</v>
      </c>
      <c r="D24" s="136" t="s">
        <v>29</v>
      </c>
    </row>
    <row r="25" spans="1:4" ht="18.75" thickBot="1" x14ac:dyDescent="0.3">
      <c r="A25" s="137">
        <v>1</v>
      </c>
      <c r="B25" s="138" t="s">
        <v>56</v>
      </c>
      <c r="C25" s="139">
        <v>4</v>
      </c>
      <c r="D25" s="140">
        <v>227</v>
      </c>
    </row>
    <row r="26" spans="1:4" ht="18.75" thickBot="1" x14ac:dyDescent="0.3">
      <c r="A26" s="141">
        <v>2</v>
      </c>
      <c r="B26" s="142" t="s">
        <v>37</v>
      </c>
      <c r="C26" s="143">
        <v>35</v>
      </c>
      <c r="D26" s="144">
        <v>1425</v>
      </c>
    </row>
    <row r="27" spans="1:4" ht="18.75" thickBot="1" x14ac:dyDescent="0.3">
      <c r="A27" s="137">
        <v>3</v>
      </c>
      <c r="B27" s="138" t="s">
        <v>39</v>
      </c>
      <c r="C27" s="139">
        <v>7</v>
      </c>
      <c r="D27" s="140">
        <v>448</v>
      </c>
    </row>
    <row r="28" spans="1:4" ht="18.75" thickBot="1" x14ac:dyDescent="0.3">
      <c r="A28" s="141">
        <v>4</v>
      </c>
      <c r="B28" s="142" t="s">
        <v>40</v>
      </c>
      <c r="C28" s="143">
        <v>5</v>
      </c>
      <c r="D28" s="145">
        <v>439</v>
      </c>
    </row>
    <row r="29" spans="1:4" ht="18.75" thickBot="1" x14ac:dyDescent="0.3">
      <c r="A29" s="137">
        <v>5</v>
      </c>
      <c r="B29" s="138" t="s">
        <v>42</v>
      </c>
      <c r="C29" s="139">
        <v>7</v>
      </c>
      <c r="D29" s="140">
        <v>430</v>
      </c>
    </row>
    <row r="30" spans="1:4" ht="18.75" thickBot="1" x14ac:dyDescent="0.3">
      <c r="A30" s="141">
        <v>6</v>
      </c>
      <c r="B30" s="142" t="s">
        <v>44</v>
      </c>
      <c r="C30" s="143">
        <v>8</v>
      </c>
      <c r="D30" s="145">
        <v>490</v>
      </c>
    </row>
    <row r="31" spans="1:4" ht="18.75" thickBot="1" x14ac:dyDescent="0.3">
      <c r="A31" s="137">
        <v>7</v>
      </c>
      <c r="B31" s="138" t="s">
        <v>47</v>
      </c>
      <c r="C31" s="139">
        <v>4</v>
      </c>
      <c r="D31" s="140">
        <v>597</v>
      </c>
    </row>
    <row r="32" spans="1:4" ht="18.75" thickBot="1" x14ac:dyDescent="0.3">
      <c r="A32" s="141">
        <v>8</v>
      </c>
      <c r="B32" s="142" t="s">
        <v>48</v>
      </c>
      <c r="C32" s="143">
        <v>6</v>
      </c>
      <c r="D32" s="145">
        <v>202</v>
      </c>
    </row>
    <row r="33" spans="1:4" ht="18.75" thickBot="1" x14ac:dyDescent="0.3">
      <c r="A33" s="137">
        <v>9</v>
      </c>
      <c r="B33" s="138" t="s">
        <v>51</v>
      </c>
      <c r="C33" s="139">
        <v>16</v>
      </c>
      <c r="D33" s="140">
        <v>388</v>
      </c>
    </row>
    <row r="34" spans="1:4" ht="18.75" thickBot="1" x14ac:dyDescent="0.3">
      <c r="A34" s="141">
        <v>10</v>
      </c>
      <c r="B34" s="142" t="s">
        <v>52</v>
      </c>
      <c r="C34" s="143">
        <v>2</v>
      </c>
      <c r="D34" s="145">
        <v>157</v>
      </c>
    </row>
    <row r="35" spans="1:4" ht="24" thickBot="1" x14ac:dyDescent="0.3">
      <c r="A35" s="146"/>
      <c r="B35" s="138" t="s">
        <v>53</v>
      </c>
      <c r="C35" s="139">
        <v>85</v>
      </c>
      <c r="D35" s="147">
        <v>4803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showGridLines="0" topLeftCell="A10" zoomScale="60" zoomScaleNormal="60" workbookViewId="0">
      <selection activeCell="D15" sqref="D15"/>
    </sheetView>
  </sheetViews>
  <sheetFormatPr defaultRowHeight="15" x14ac:dyDescent="0.25"/>
  <cols>
    <col min="2" max="4" width="19.85546875" customWidth="1"/>
  </cols>
  <sheetData>
    <row r="1" spans="1:4" ht="34.5" x14ac:dyDescent="0.45">
      <c r="A1" s="44" t="s">
        <v>60</v>
      </c>
    </row>
    <row r="4" spans="1:4" ht="18" x14ac:dyDescent="0.25">
      <c r="A4" s="45" t="s">
        <v>58</v>
      </c>
    </row>
    <row r="5" spans="1:4" ht="15.75" thickBot="1" x14ac:dyDescent="0.3"/>
    <row r="6" spans="1:4" ht="32.25" thickBot="1" x14ac:dyDescent="0.3">
      <c r="A6" s="14" t="s">
        <v>26</v>
      </c>
      <c r="B6" s="15" t="s">
        <v>27</v>
      </c>
      <c r="C6" s="15" t="s">
        <v>28</v>
      </c>
      <c r="D6" s="15" t="s">
        <v>29</v>
      </c>
    </row>
    <row r="7" spans="1:4" ht="16.5" thickTop="1" thickBot="1" x14ac:dyDescent="0.3">
      <c r="A7" s="16">
        <v>1</v>
      </c>
      <c r="B7" s="17" t="s">
        <v>30</v>
      </c>
      <c r="C7" s="62">
        <v>8</v>
      </c>
      <c r="D7" s="62">
        <v>446</v>
      </c>
    </row>
    <row r="8" spans="1:4" ht="15.75" thickBot="1" x14ac:dyDescent="0.3">
      <c r="A8" s="20">
        <v>2</v>
      </c>
      <c r="B8" s="21" t="s">
        <v>31</v>
      </c>
      <c r="C8" s="63">
        <v>0</v>
      </c>
      <c r="D8" s="63">
        <v>0</v>
      </c>
    </row>
    <row r="9" spans="1:4" ht="30.75" thickBot="1" x14ac:dyDescent="0.3">
      <c r="A9" s="24">
        <v>3</v>
      </c>
      <c r="B9" s="25" t="s">
        <v>32</v>
      </c>
      <c r="C9" s="64">
        <v>4</v>
      </c>
      <c r="D9" s="64">
        <v>664</v>
      </c>
    </row>
    <row r="18" spans="1:4" ht="18" x14ac:dyDescent="0.25">
      <c r="A18" s="61" t="s">
        <v>33</v>
      </c>
    </row>
    <row r="19" spans="1:4" ht="15.75" thickBot="1" x14ac:dyDescent="0.3"/>
    <row r="20" spans="1:4" ht="32.25" thickBot="1" x14ac:dyDescent="0.3">
      <c r="A20" s="15" t="s">
        <v>26</v>
      </c>
      <c r="B20" s="15" t="s">
        <v>34</v>
      </c>
      <c r="C20" s="15" t="s">
        <v>28</v>
      </c>
      <c r="D20" s="15" t="s">
        <v>29</v>
      </c>
    </row>
    <row r="21" spans="1:4" ht="38.25" customHeight="1" thickTop="1" thickBot="1" x14ac:dyDescent="0.3">
      <c r="A21" s="159">
        <v>1</v>
      </c>
      <c r="B21" s="160" t="s">
        <v>56</v>
      </c>
      <c r="C21" s="161">
        <v>2</v>
      </c>
      <c r="D21" s="161">
        <v>240</v>
      </c>
    </row>
    <row r="22" spans="1:4" ht="38.25" customHeight="1" thickBot="1" x14ac:dyDescent="0.3">
      <c r="A22" s="162">
        <v>2</v>
      </c>
      <c r="B22" s="163" t="s">
        <v>37</v>
      </c>
      <c r="C22" s="164">
        <v>1</v>
      </c>
      <c r="D22" s="164">
        <v>18</v>
      </c>
    </row>
    <row r="23" spans="1:4" ht="38.25" customHeight="1" thickBot="1" x14ac:dyDescent="0.3">
      <c r="A23" s="24">
        <v>3</v>
      </c>
      <c r="B23" s="25" t="s">
        <v>42</v>
      </c>
      <c r="C23" s="53">
        <v>2</v>
      </c>
      <c r="D23" s="53">
        <v>78</v>
      </c>
    </row>
    <row r="24" spans="1:4" ht="38.25" customHeight="1" thickBot="1" x14ac:dyDescent="0.3">
      <c r="A24" s="162">
        <v>4</v>
      </c>
      <c r="B24" s="163" t="s">
        <v>44</v>
      </c>
      <c r="C24" s="164">
        <v>3</v>
      </c>
      <c r="D24" s="164">
        <v>110</v>
      </c>
    </row>
    <row r="25" spans="1:4" ht="24" thickBot="1" x14ac:dyDescent="0.3">
      <c r="A25" s="56"/>
      <c r="B25" s="57" t="s">
        <v>53</v>
      </c>
      <c r="C25" s="65">
        <v>8</v>
      </c>
      <c r="D25" s="65">
        <v>446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zoomScale="51" zoomScaleNormal="51" workbookViewId="0">
      <selection activeCell="AH8" sqref="AH8"/>
    </sheetView>
  </sheetViews>
  <sheetFormatPr defaultRowHeight="15" x14ac:dyDescent="0.25"/>
  <cols>
    <col min="3" max="3" width="29" customWidth="1"/>
    <col min="4" max="8" width="28.140625" customWidth="1"/>
    <col min="15" max="15" width="19.28515625" customWidth="1"/>
  </cols>
  <sheetData>
    <row r="1" spans="2:8" ht="37.5" x14ac:dyDescent="0.45">
      <c r="C1" s="12" t="s">
        <v>61</v>
      </c>
    </row>
    <row r="2" spans="2:8" ht="15.75" thickBot="1" x14ac:dyDescent="0.3"/>
    <row r="3" spans="2:8" ht="48.75" customHeight="1" thickBot="1" x14ac:dyDescent="0.3">
      <c r="B3" s="225" t="s">
        <v>26</v>
      </c>
      <c r="C3" s="227" t="s">
        <v>34</v>
      </c>
      <c r="D3" s="165" t="s">
        <v>109</v>
      </c>
      <c r="E3" s="165" t="s">
        <v>109</v>
      </c>
      <c r="F3" s="165" t="s">
        <v>109</v>
      </c>
      <c r="G3" s="165" t="s">
        <v>109</v>
      </c>
      <c r="H3" s="166" t="s">
        <v>109</v>
      </c>
    </row>
    <row r="4" spans="2:8" ht="48.75" customHeight="1" thickBot="1" x14ac:dyDescent="0.3">
      <c r="B4" s="226"/>
      <c r="C4" s="228"/>
      <c r="D4" s="165" t="s">
        <v>110</v>
      </c>
      <c r="E4" s="165" t="s">
        <v>111</v>
      </c>
      <c r="F4" s="165" t="s">
        <v>112</v>
      </c>
      <c r="G4" s="165" t="s">
        <v>113</v>
      </c>
      <c r="H4" s="166" t="s">
        <v>114</v>
      </c>
    </row>
    <row r="5" spans="2:8" ht="48.75" customHeight="1" thickBot="1" x14ac:dyDescent="0.3">
      <c r="B5" s="167">
        <v>1</v>
      </c>
      <c r="C5" s="168" t="s">
        <v>44</v>
      </c>
      <c r="D5" s="169">
        <v>210</v>
      </c>
      <c r="E5" s="169">
        <v>252</v>
      </c>
      <c r="F5" s="169">
        <v>302.39999999999998</v>
      </c>
      <c r="G5" s="169">
        <v>362.88</v>
      </c>
      <c r="H5" s="170">
        <v>435.45600000000002</v>
      </c>
    </row>
    <row r="6" spans="2:8" ht="48.75" customHeight="1" thickBot="1" x14ac:dyDescent="0.3">
      <c r="B6" s="171">
        <v>2</v>
      </c>
      <c r="C6" s="172" t="s">
        <v>64</v>
      </c>
      <c r="D6" s="173">
        <v>25</v>
      </c>
      <c r="E6" s="173">
        <v>30</v>
      </c>
      <c r="F6" s="173">
        <v>36</v>
      </c>
      <c r="G6" s="173">
        <v>43.2</v>
      </c>
      <c r="H6" s="174">
        <v>51.84</v>
      </c>
    </row>
    <row r="7" spans="2:8" ht="48.75" customHeight="1" thickBot="1" x14ac:dyDescent="0.3">
      <c r="B7" s="167">
        <v>3</v>
      </c>
      <c r="C7" s="168" t="s">
        <v>65</v>
      </c>
      <c r="D7" s="169">
        <v>50</v>
      </c>
      <c r="E7" s="169">
        <v>60</v>
      </c>
      <c r="F7" s="169">
        <v>72</v>
      </c>
      <c r="G7" s="169">
        <v>86.4</v>
      </c>
      <c r="H7" s="170">
        <v>103.68</v>
      </c>
    </row>
    <row r="8" spans="2:8" ht="48.75" customHeight="1" thickBot="1" x14ac:dyDescent="0.3">
      <c r="B8" s="171">
        <v>4</v>
      </c>
      <c r="C8" s="172" t="s">
        <v>66</v>
      </c>
      <c r="D8" s="173">
        <v>6</v>
      </c>
      <c r="E8" s="173">
        <v>7.2</v>
      </c>
      <c r="F8" s="173">
        <v>8.64</v>
      </c>
      <c r="G8" s="173">
        <v>10.368</v>
      </c>
      <c r="H8" s="174">
        <v>12.441599999999999</v>
      </c>
    </row>
    <row r="9" spans="2:8" ht="48.75" customHeight="1" thickBot="1" x14ac:dyDescent="0.3">
      <c r="B9" s="167">
        <v>5</v>
      </c>
      <c r="C9" s="168" t="s">
        <v>56</v>
      </c>
      <c r="D9" s="169">
        <v>62</v>
      </c>
      <c r="E9" s="169">
        <v>74.400000000000006</v>
      </c>
      <c r="F9" s="169">
        <v>89.28</v>
      </c>
      <c r="G9" s="169">
        <v>107.136</v>
      </c>
      <c r="H9" s="170">
        <v>128.56319999999999</v>
      </c>
    </row>
    <row r="10" spans="2:8" ht="48.75" customHeight="1" thickBot="1" x14ac:dyDescent="0.3">
      <c r="B10" s="171">
        <v>6</v>
      </c>
      <c r="C10" s="172" t="s">
        <v>67</v>
      </c>
      <c r="D10" s="173">
        <v>15</v>
      </c>
      <c r="E10" s="173">
        <v>18</v>
      </c>
      <c r="F10" s="173">
        <v>21.6</v>
      </c>
      <c r="G10" s="173">
        <v>25.92</v>
      </c>
      <c r="H10" s="174">
        <v>31.103999999999999</v>
      </c>
    </row>
    <row r="11" spans="2:8" ht="48.75" customHeight="1" thickBot="1" x14ac:dyDescent="0.4">
      <c r="B11" s="167">
        <v>7</v>
      </c>
      <c r="C11" s="168" t="s">
        <v>46</v>
      </c>
      <c r="D11" s="169">
        <v>30</v>
      </c>
      <c r="E11" s="175">
        <v>36</v>
      </c>
      <c r="F11" s="175">
        <v>43.2</v>
      </c>
      <c r="G11" s="175">
        <v>51.84</v>
      </c>
      <c r="H11" s="176">
        <v>62.207999999999998</v>
      </c>
    </row>
    <row r="12" spans="2:8" ht="48.75" customHeight="1" thickBot="1" x14ac:dyDescent="0.3">
      <c r="B12" s="171">
        <v>8</v>
      </c>
      <c r="C12" s="172" t="s">
        <v>68</v>
      </c>
      <c r="D12" s="173">
        <v>50</v>
      </c>
      <c r="E12" s="173">
        <v>60</v>
      </c>
      <c r="F12" s="173">
        <v>72</v>
      </c>
      <c r="G12" s="173">
        <v>86.4</v>
      </c>
      <c r="H12" s="174">
        <v>103.68</v>
      </c>
    </row>
    <row r="13" spans="2:8" ht="48.75" customHeight="1" thickBot="1" x14ac:dyDescent="0.4">
      <c r="B13" s="167">
        <v>9</v>
      </c>
      <c r="C13" s="168" t="s">
        <v>69</v>
      </c>
      <c r="D13" s="169">
        <v>20</v>
      </c>
      <c r="E13" s="175">
        <v>24</v>
      </c>
      <c r="F13" s="175">
        <v>28.8</v>
      </c>
      <c r="G13" s="175">
        <v>34.56</v>
      </c>
      <c r="H13" s="176">
        <v>41.472000000000001</v>
      </c>
    </row>
    <row r="14" spans="2:8" ht="48.75" customHeight="1" thickBot="1" x14ac:dyDescent="0.3">
      <c r="B14" s="171">
        <v>10</v>
      </c>
      <c r="C14" s="172" t="s">
        <v>115</v>
      </c>
      <c r="D14" s="173">
        <v>180</v>
      </c>
      <c r="E14" s="173">
        <v>216</v>
      </c>
      <c r="F14" s="173">
        <v>259.2</v>
      </c>
      <c r="G14" s="173">
        <v>311.04000000000002</v>
      </c>
      <c r="H14" s="174">
        <v>373.24799999999999</v>
      </c>
    </row>
    <row r="15" spans="2:8" ht="48.75" customHeight="1" thickBot="1" x14ac:dyDescent="0.4">
      <c r="B15" s="167">
        <v>11</v>
      </c>
      <c r="C15" s="168" t="s">
        <v>39</v>
      </c>
      <c r="D15" s="169">
        <v>360</v>
      </c>
      <c r="E15" s="175">
        <v>432</v>
      </c>
      <c r="F15" s="175">
        <v>518.4</v>
      </c>
      <c r="G15" s="175">
        <v>622.08000000000004</v>
      </c>
      <c r="H15" s="176">
        <v>746.49599999999998</v>
      </c>
    </row>
    <row r="16" spans="2:8" ht="48.75" customHeight="1" thickBot="1" x14ac:dyDescent="0.3">
      <c r="B16" s="177"/>
      <c r="C16" s="178" t="s">
        <v>53</v>
      </c>
      <c r="D16" s="179">
        <v>1008</v>
      </c>
      <c r="E16" s="179">
        <v>1209.5999999999999</v>
      </c>
      <c r="F16" s="179">
        <v>1451.52</v>
      </c>
      <c r="G16" s="179">
        <v>1741.8240000000001</v>
      </c>
      <c r="H16" s="180">
        <v>2090.1887999999999</v>
      </c>
    </row>
    <row r="37" spans="1:15" ht="15.75" thickBot="1" x14ac:dyDescent="0.3"/>
    <row r="38" spans="1:15" ht="135.75" thickBot="1" x14ac:dyDescent="0.3">
      <c r="A38" t="s">
        <v>117</v>
      </c>
      <c r="B38" s="227" t="s">
        <v>34</v>
      </c>
      <c r="C38" s="228"/>
      <c r="D38" s="168" t="s">
        <v>44</v>
      </c>
      <c r="E38" s="172" t="s">
        <v>64</v>
      </c>
      <c r="F38" s="168" t="s">
        <v>65</v>
      </c>
      <c r="G38" s="172" t="s">
        <v>66</v>
      </c>
      <c r="H38" s="168" t="s">
        <v>56</v>
      </c>
      <c r="I38" s="172" t="s">
        <v>67</v>
      </c>
      <c r="J38" s="168" t="s">
        <v>46</v>
      </c>
      <c r="K38" s="172" t="s">
        <v>68</v>
      </c>
      <c r="L38" s="168" t="s">
        <v>69</v>
      </c>
      <c r="M38" s="172" t="s">
        <v>115</v>
      </c>
      <c r="N38" s="168" t="s">
        <v>39</v>
      </c>
      <c r="O38" s="178" t="s">
        <v>53</v>
      </c>
    </row>
    <row r="39" spans="1:15" ht="78.75" thickBot="1" x14ac:dyDescent="0.3">
      <c r="A39">
        <v>1</v>
      </c>
      <c r="B39" s="165" t="s">
        <v>109</v>
      </c>
      <c r="C39" s="165" t="s">
        <v>110</v>
      </c>
      <c r="D39" s="169">
        <v>210</v>
      </c>
      <c r="E39" s="173">
        <v>25</v>
      </c>
      <c r="F39" s="169">
        <v>50</v>
      </c>
      <c r="G39" s="173">
        <v>6</v>
      </c>
      <c r="H39" s="169">
        <v>62</v>
      </c>
      <c r="I39" s="173">
        <v>15</v>
      </c>
      <c r="J39" s="169">
        <v>30</v>
      </c>
      <c r="K39" s="173">
        <v>50</v>
      </c>
      <c r="L39" s="169">
        <v>20</v>
      </c>
      <c r="M39" s="173">
        <v>180</v>
      </c>
      <c r="N39" s="169">
        <v>360</v>
      </c>
      <c r="O39" s="179">
        <v>1008</v>
      </c>
    </row>
    <row r="40" spans="1:15" ht="78.75" thickBot="1" x14ac:dyDescent="0.4">
      <c r="A40">
        <v>2</v>
      </c>
      <c r="B40" s="165" t="s">
        <v>109</v>
      </c>
      <c r="C40" s="165" t="s">
        <v>111</v>
      </c>
      <c r="D40" s="169">
        <v>252</v>
      </c>
      <c r="E40" s="173">
        <v>30</v>
      </c>
      <c r="F40" s="169">
        <v>60</v>
      </c>
      <c r="G40" s="173">
        <v>7.2</v>
      </c>
      <c r="H40" s="169">
        <v>74.400000000000006</v>
      </c>
      <c r="I40" s="173">
        <v>18</v>
      </c>
      <c r="J40" s="175">
        <v>36</v>
      </c>
      <c r="K40" s="173">
        <v>60</v>
      </c>
      <c r="L40" s="175">
        <v>24</v>
      </c>
      <c r="M40" s="173">
        <v>216</v>
      </c>
      <c r="N40" s="175">
        <v>432</v>
      </c>
      <c r="O40" s="179">
        <v>1209.5999999999999</v>
      </c>
    </row>
    <row r="41" spans="1:15" ht="78.75" thickBot="1" x14ac:dyDescent="0.4">
      <c r="A41">
        <v>3</v>
      </c>
      <c r="B41" s="165" t="s">
        <v>109</v>
      </c>
      <c r="C41" s="165" t="s">
        <v>112</v>
      </c>
      <c r="D41" s="169">
        <v>302.39999999999998</v>
      </c>
      <c r="E41" s="173">
        <v>36</v>
      </c>
      <c r="F41" s="169">
        <v>72</v>
      </c>
      <c r="G41" s="173">
        <v>8.64</v>
      </c>
      <c r="H41" s="169">
        <v>89.28</v>
      </c>
      <c r="I41" s="173">
        <v>21.6</v>
      </c>
      <c r="J41" s="175">
        <v>43.2</v>
      </c>
      <c r="K41" s="173">
        <v>72</v>
      </c>
      <c r="L41" s="175">
        <v>28.8</v>
      </c>
      <c r="M41" s="173">
        <v>259.2</v>
      </c>
      <c r="N41" s="175">
        <v>518.4</v>
      </c>
      <c r="O41" s="179">
        <v>1451.52</v>
      </c>
    </row>
    <row r="42" spans="1:15" ht="78.75" thickBot="1" x14ac:dyDescent="0.4">
      <c r="A42">
        <v>4</v>
      </c>
      <c r="B42" s="165" t="s">
        <v>109</v>
      </c>
      <c r="C42" s="165" t="s">
        <v>113</v>
      </c>
      <c r="D42" s="169">
        <v>362.88</v>
      </c>
      <c r="E42" s="173">
        <v>43.2</v>
      </c>
      <c r="F42" s="169">
        <v>86.4</v>
      </c>
      <c r="G42" s="173">
        <v>10.368</v>
      </c>
      <c r="H42" s="169">
        <v>107.136</v>
      </c>
      <c r="I42" s="173">
        <v>25.92</v>
      </c>
      <c r="J42" s="175">
        <v>51.84</v>
      </c>
      <c r="K42" s="173">
        <v>86.4</v>
      </c>
      <c r="L42" s="175">
        <v>34.56</v>
      </c>
      <c r="M42" s="173">
        <v>311.04000000000002</v>
      </c>
      <c r="N42" s="175">
        <v>622.08000000000004</v>
      </c>
      <c r="O42" s="179">
        <v>1741.8240000000001</v>
      </c>
    </row>
    <row r="43" spans="1:15" ht="78.75" thickBot="1" x14ac:dyDescent="0.4">
      <c r="A43">
        <v>5</v>
      </c>
      <c r="B43" s="166" t="s">
        <v>109</v>
      </c>
      <c r="C43" s="166" t="s">
        <v>114</v>
      </c>
      <c r="D43" s="170">
        <v>435.45600000000002</v>
      </c>
      <c r="E43" s="174">
        <v>51.84</v>
      </c>
      <c r="F43" s="170">
        <v>103.68</v>
      </c>
      <c r="G43" s="174">
        <v>12.441599999999999</v>
      </c>
      <c r="H43" s="170">
        <v>128.56319999999999</v>
      </c>
      <c r="I43" s="174">
        <v>31.103999999999999</v>
      </c>
      <c r="J43" s="176">
        <v>62.207999999999998</v>
      </c>
      <c r="K43" s="174">
        <v>103.68</v>
      </c>
      <c r="L43" s="176">
        <v>41.472000000000001</v>
      </c>
      <c r="M43" s="174">
        <v>373.24799999999999</v>
      </c>
      <c r="N43" s="176">
        <v>746.49599999999998</v>
      </c>
      <c r="O43" s="180">
        <v>2090.1887999999999</v>
      </c>
    </row>
  </sheetData>
  <mergeCells count="3">
    <mergeCell ref="B3:B4"/>
    <mergeCell ref="C3:C4"/>
    <mergeCell ref="B38:C38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showGridLines="0" zoomScale="62" zoomScaleNormal="62" workbookViewId="0">
      <selection activeCell="F12" sqref="F12"/>
    </sheetView>
  </sheetViews>
  <sheetFormatPr defaultRowHeight="15" x14ac:dyDescent="0.25"/>
  <cols>
    <col min="2" max="4" width="22.42578125" customWidth="1"/>
  </cols>
  <sheetData>
    <row r="1" spans="1:4" ht="32.25" x14ac:dyDescent="0.4">
      <c r="A1" s="60" t="s">
        <v>70</v>
      </c>
    </row>
    <row r="3" spans="1:4" ht="15.75" thickBot="1" x14ac:dyDescent="0.3"/>
    <row r="4" spans="1:4" ht="63.75" thickBot="1" x14ac:dyDescent="0.3">
      <c r="A4" s="15" t="s">
        <v>26</v>
      </c>
      <c r="B4" s="15" t="s">
        <v>34</v>
      </c>
      <c r="C4" s="15" t="s">
        <v>62</v>
      </c>
      <c r="D4" s="15" t="s">
        <v>63</v>
      </c>
    </row>
    <row r="5" spans="1:4" ht="22.5" thickTop="1" thickBot="1" x14ac:dyDescent="0.3">
      <c r="A5" s="66">
        <v>1</v>
      </c>
      <c r="B5" s="67" t="s">
        <v>44</v>
      </c>
      <c r="C5" s="68">
        <v>2100</v>
      </c>
      <c r="D5" s="68">
        <v>210</v>
      </c>
    </row>
    <row r="6" spans="1:4" ht="63.75" thickBot="1" x14ac:dyDescent="0.3">
      <c r="A6" s="69">
        <v>2</v>
      </c>
      <c r="B6" s="70" t="s">
        <v>64</v>
      </c>
      <c r="C6" s="71">
        <v>300</v>
      </c>
      <c r="D6" s="71">
        <v>25</v>
      </c>
    </row>
    <row r="7" spans="1:4" ht="42.75" thickBot="1" x14ac:dyDescent="0.3">
      <c r="A7" s="72">
        <v>3</v>
      </c>
      <c r="B7" s="73" t="s">
        <v>65</v>
      </c>
      <c r="C7" s="74">
        <v>500</v>
      </c>
      <c r="D7" s="74">
        <v>50</v>
      </c>
    </row>
    <row r="8" spans="1:4" ht="21.75" thickBot="1" x14ac:dyDescent="0.3">
      <c r="A8" s="69">
        <v>4</v>
      </c>
      <c r="B8" s="70" t="s">
        <v>66</v>
      </c>
      <c r="C8" s="71">
        <v>60</v>
      </c>
      <c r="D8" s="71">
        <v>6</v>
      </c>
    </row>
    <row r="9" spans="1:4" ht="21.75" thickBot="1" x14ac:dyDescent="0.3">
      <c r="A9" s="72">
        <v>5</v>
      </c>
      <c r="B9" s="73" t="s">
        <v>56</v>
      </c>
      <c r="C9" s="74">
        <v>620</v>
      </c>
      <c r="D9" s="74">
        <v>62</v>
      </c>
    </row>
    <row r="10" spans="1:4" ht="21.75" thickBot="1" x14ac:dyDescent="0.3">
      <c r="A10" s="69">
        <v>6</v>
      </c>
      <c r="B10" s="70" t="s">
        <v>67</v>
      </c>
      <c r="C10" s="71">
        <v>60</v>
      </c>
      <c r="D10" s="71">
        <v>15</v>
      </c>
    </row>
    <row r="11" spans="1:4" ht="21.75" thickBot="1" x14ac:dyDescent="0.3">
      <c r="A11" s="72">
        <v>7</v>
      </c>
      <c r="B11" s="73" t="s">
        <v>46</v>
      </c>
      <c r="C11" s="74">
        <v>150</v>
      </c>
      <c r="D11" s="74">
        <v>30</v>
      </c>
    </row>
    <row r="12" spans="1:4" ht="42.75" thickBot="1" x14ac:dyDescent="0.3">
      <c r="A12" s="69">
        <v>8</v>
      </c>
      <c r="B12" s="70" t="s">
        <v>68</v>
      </c>
      <c r="C12" s="71">
        <v>500</v>
      </c>
      <c r="D12" s="71">
        <v>50</v>
      </c>
    </row>
    <row r="13" spans="1:4" ht="21.75" thickBot="1" x14ac:dyDescent="0.3">
      <c r="A13" s="72">
        <v>9</v>
      </c>
      <c r="B13" s="73" t="s">
        <v>69</v>
      </c>
      <c r="C13" s="74">
        <v>100</v>
      </c>
      <c r="D13" s="74">
        <v>20</v>
      </c>
    </row>
    <row r="14" spans="1:4" ht="24" thickBot="1" x14ac:dyDescent="0.3">
      <c r="A14" s="75"/>
      <c r="B14" s="70" t="s">
        <v>53</v>
      </c>
      <c r="C14" s="76">
        <v>4390</v>
      </c>
      <c r="D14" s="76">
        <v>468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workbookViewId="0">
      <selection activeCell="D15" sqref="D15"/>
    </sheetView>
  </sheetViews>
  <sheetFormatPr defaultRowHeight="15" x14ac:dyDescent="0.25"/>
  <cols>
    <col min="2" max="2" width="32" customWidth="1"/>
    <col min="3" max="6" width="20" customWidth="1"/>
  </cols>
  <sheetData>
    <row r="1" spans="1:6" ht="37.5" x14ac:dyDescent="0.45">
      <c r="A1" s="12" t="s">
        <v>71</v>
      </c>
    </row>
    <row r="3" spans="1:6" ht="15.75" thickBot="1" x14ac:dyDescent="0.3"/>
    <row r="4" spans="1:6" ht="16.5" thickBot="1" x14ac:dyDescent="0.3">
      <c r="A4" s="77" t="s">
        <v>72</v>
      </c>
      <c r="B4" s="77" t="s">
        <v>73</v>
      </c>
      <c r="C4" s="77" t="s">
        <v>13</v>
      </c>
      <c r="D4" s="77" t="s">
        <v>74</v>
      </c>
      <c r="E4" s="77" t="s">
        <v>75</v>
      </c>
      <c r="F4" s="77" t="s">
        <v>76</v>
      </c>
    </row>
    <row r="5" spans="1:6" ht="48" thickBot="1" x14ac:dyDescent="0.3">
      <c r="A5" s="89">
        <v>1</v>
      </c>
      <c r="B5" s="89" t="s">
        <v>97</v>
      </c>
      <c r="C5" s="90">
        <v>30</v>
      </c>
      <c r="D5" s="90">
        <v>50</v>
      </c>
      <c r="E5" s="90">
        <v>100</v>
      </c>
      <c r="F5" s="90">
        <v>170</v>
      </c>
    </row>
    <row r="6" spans="1:6" ht="48" thickBot="1" x14ac:dyDescent="0.3">
      <c r="A6" s="78">
        <v>2</v>
      </c>
      <c r="B6" s="79" t="s">
        <v>77</v>
      </c>
      <c r="C6" s="80" t="s">
        <v>78</v>
      </c>
      <c r="D6" s="80">
        <v>120</v>
      </c>
      <c r="E6" s="80">
        <v>140</v>
      </c>
      <c r="F6" s="80">
        <v>150</v>
      </c>
    </row>
    <row r="7" spans="1:6" ht="79.5" thickBot="1" x14ac:dyDescent="0.3">
      <c r="A7" s="81">
        <v>3</v>
      </c>
      <c r="B7" s="82" t="s">
        <v>79</v>
      </c>
      <c r="C7" s="83">
        <v>20</v>
      </c>
      <c r="D7" s="83">
        <v>35</v>
      </c>
      <c r="E7" s="83">
        <v>50</v>
      </c>
      <c r="F7" s="83">
        <v>75</v>
      </c>
    </row>
    <row r="8" spans="1:6" ht="63.75" thickBot="1" x14ac:dyDescent="0.3">
      <c r="A8" s="78">
        <v>4</v>
      </c>
      <c r="B8" s="79" t="s">
        <v>80</v>
      </c>
      <c r="C8" s="80">
        <v>1100</v>
      </c>
      <c r="D8" s="80">
        <v>50</v>
      </c>
      <c r="E8" s="80">
        <v>60</v>
      </c>
      <c r="F8" s="80">
        <v>70</v>
      </c>
    </row>
    <row r="9" spans="1:6" ht="16.5" thickBot="1" x14ac:dyDescent="0.3">
      <c r="A9" s="84"/>
      <c r="B9" s="85" t="s">
        <v>53</v>
      </c>
      <c r="C9" s="86">
        <v>1220</v>
      </c>
      <c r="D9" s="86">
        <v>255</v>
      </c>
      <c r="E9" s="86">
        <v>350</v>
      </c>
      <c r="F9" s="86">
        <v>465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opLeftCell="A13" zoomScale="85" zoomScaleNormal="85" workbookViewId="0">
      <selection activeCell="O31" sqref="O31"/>
    </sheetView>
  </sheetViews>
  <sheetFormatPr defaultRowHeight="15" x14ac:dyDescent="0.25"/>
  <cols>
    <col min="2" max="2" width="29.42578125" customWidth="1"/>
    <col min="3" max="6" width="21.7109375" customWidth="1"/>
    <col min="7" max="8" width="12.7109375" bestFit="1" customWidth="1"/>
  </cols>
  <sheetData>
    <row r="1" spans="1:8" ht="37.5" x14ac:dyDescent="0.45">
      <c r="A1" s="12" t="s">
        <v>81</v>
      </c>
    </row>
    <row r="3" spans="1:8" ht="15.75" thickBot="1" x14ac:dyDescent="0.3"/>
    <row r="4" spans="1:8" ht="25.5" customHeight="1" x14ac:dyDescent="0.25">
      <c r="A4" s="229" t="s">
        <v>72</v>
      </c>
      <c r="B4" s="229" t="s">
        <v>73</v>
      </c>
      <c r="C4" s="229" t="s">
        <v>13</v>
      </c>
      <c r="D4" s="229" t="s">
        <v>74</v>
      </c>
      <c r="E4" s="229" t="s">
        <v>75</v>
      </c>
      <c r="F4" s="231" t="s">
        <v>82</v>
      </c>
      <c r="G4" s="229" t="s">
        <v>124</v>
      </c>
      <c r="H4" s="229" t="s">
        <v>125</v>
      </c>
    </row>
    <row r="5" spans="1:8" ht="15.75" thickBot="1" x14ac:dyDescent="0.3">
      <c r="A5" s="230"/>
      <c r="B5" s="230"/>
      <c r="C5" s="230"/>
      <c r="D5" s="230"/>
      <c r="E5" s="230"/>
      <c r="F5" s="232"/>
      <c r="G5" s="230"/>
      <c r="H5" s="230"/>
    </row>
    <row r="6" spans="1:8" ht="77.25" thickBot="1" x14ac:dyDescent="0.3">
      <c r="A6" s="183">
        <v>1</v>
      </c>
      <c r="B6" s="184" t="s">
        <v>123</v>
      </c>
      <c r="C6" s="185">
        <v>140</v>
      </c>
      <c r="D6" s="185">
        <v>150</v>
      </c>
      <c r="E6" s="185">
        <v>170</v>
      </c>
      <c r="F6" s="185">
        <v>200</v>
      </c>
      <c r="G6" s="185">
        <v>230</v>
      </c>
      <c r="H6" s="185">
        <v>300</v>
      </c>
    </row>
    <row r="7" spans="1:8" ht="51.75" thickBot="1" x14ac:dyDescent="0.3">
      <c r="A7" s="183">
        <v>2</v>
      </c>
      <c r="B7" s="186" t="s">
        <v>119</v>
      </c>
      <c r="C7" s="187">
        <v>10</v>
      </c>
      <c r="D7" s="187" t="s">
        <v>120</v>
      </c>
      <c r="E7" s="187" t="s">
        <v>121</v>
      </c>
      <c r="F7" s="187" t="s">
        <v>122</v>
      </c>
      <c r="G7" s="187">
        <v>35</v>
      </c>
      <c r="H7" s="187">
        <v>40</v>
      </c>
    </row>
    <row r="8" spans="1:8" ht="51.75" thickBot="1" x14ac:dyDescent="0.3">
      <c r="A8" s="183">
        <v>3</v>
      </c>
      <c r="B8" s="184" t="s">
        <v>83</v>
      </c>
      <c r="C8" s="185">
        <v>5</v>
      </c>
      <c r="D8" s="185">
        <v>10</v>
      </c>
      <c r="E8" s="185">
        <v>20</v>
      </c>
      <c r="F8" s="185">
        <v>40</v>
      </c>
      <c r="G8" s="185">
        <v>85</v>
      </c>
      <c r="H8" s="185">
        <v>160</v>
      </c>
    </row>
    <row r="9" spans="1:8" ht="26.25" thickBot="1" x14ac:dyDescent="0.3">
      <c r="A9" s="188"/>
      <c r="B9" s="189" t="s">
        <v>84</v>
      </c>
      <c r="C9" s="188">
        <f t="shared" ref="C9:H9" si="0">SUM(C6:C8)</f>
        <v>155</v>
      </c>
      <c r="D9" s="188">
        <f t="shared" si="0"/>
        <v>160</v>
      </c>
      <c r="E9" s="188">
        <f t="shared" si="0"/>
        <v>190</v>
      </c>
      <c r="F9" s="188">
        <f t="shared" si="0"/>
        <v>240</v>
      </c>
      <c r="G9" s="190">
        <f t="shared" si="0"/>
        <v>350</v>
      </c>
      <c r="H9" s="190">
        <f t="shared" si="0"/>
        <v>500</v>
      </c>
    </row>
    <row r="10" spans="1:8" ht="26.25" thickBot="1" x14ac:dyDescent="0.3">
      <c r="A10" s="191"/>
      <c r="B10" s="192" t="s">
        <v>85</v>
      </c>
      <c r="C10" s="183">
        <v>18.5</v>
      </c>
      <c r="D10" s="183">
        <v>18.8</v>
      </c>
      <c r="E10" s="183">
        <v>22.3</v>
      </c>
      <c r="F10" s="183">
        <v>28.2</v>
      </c>
      <c r="G10" s="191">
        <v>41.8</v>
      </c>
      <c r="H10" s="191">
        <v>59.6</v>
      </c>
    </row>
  </sheetData>
  <mergeCells count="8">
    <mergeCell ref="G4:G5"/>
    <mergeCell ref="H4:H5"/>
    <mergeCell ref="F4:F5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opLeftCell="A7" workbookViewId="0">
      <selection activeCell="F38" sqref="F38"/>
    </sheetView>
  </sheetViews>
  <sheetFormatPr defaultRowHeight="15" x14ac:dyDescent="0.25"/>
  <cols>
    <col min="1" max="1" width="9.140625" style="87"/>
    <col min="2" max="6" width="23.28515625" style="87" customWidth="1"/>
    <col min="7" max="7" width="9.140625" style="87"/>
  </cols>
  <sheetData>
    <row r="1" spans="1:8" ht="37.5" x14ac:dyDescent="0.45">
      <c r="A1" s="12" t="s">
        <v>86</v>
      </c>
    </row>
    <row r="3" spans="1:8" ht="15.75" thickBot="1" x14ac:dyDescent="0.3"/>
    <row r="4" spans="1:8" ht="35.25" thickBot="1" x14ac:dyDescent="0.3">
      <c r="A4" s="193" t="s">
        <v>126</v>
      </c>
      <c r="B4" s="194" t="s">
        <v>127</v>
      </c>
      <c r="C4" s="193" t="s">
        <v>13</v>
      </c>
      <c r="D4" s="193" t="s">
        <v>74</v>
      </c>
      <c r="E4" s="193" t="s">
        <v>75</v>
      </c>
      <c r="F4" s="193" t="s">
        <v>76</v>
      </c>
      <c r="G4" s="193" t="s">
        <v>124</v>
      </c>
      <c r="H4" s="193" t="s">
        <v>125</v>
      </c>
    </row>
    <row r="5" spans="1:8" ht="35.25" thickBot="1" x14ac:dyDescent="0.3">
      <c r="A5" s="195">
        <v>1</v>
      </c>
      <c r="B5" s="195" t="s">
        <v>87</v>
      </c>
      <c r="C5" s="196">
        <v>1220</v>
      </c>
      <c r="D5" s="196">
        <v>255</v>
      </c>
      <c r="E5" s="196">
        <v>350</v>
      </c>
      <c r="F5" s="196">
        <v>465</v>
      </c>
      <c r="G5" s="197">
        <v>600</v>
      </c>
      <c r="H5" s="197">
        <v>750</v>
      </c>
    </row>
    <row r="6" spans="1:8" ht="18" thickBot="1" x14ac:dyDescent="0.3">
      <c r="A6" s="198">
        <v>2</v>
      </c>
      <c r="B6" s="198" t="s">
        <v>88</v>
      </c>
      <c r="C6" s="199">
        <v>155</v>
      </c>
      <c r="D6" s="199">
        <v>160</v>
      </c>
      <c r="E6" s="199">
        <v>190</v>
      </c>
      <c r="F6" s="199">
        <v>240</v>
      </c>
      <c r="G6" s="200">
        <v>350</v>
      </c>
      <c r="H6" s="200">
        <v>500</v>
      </c>
    </row>
    <row r="7" spans="1:8" ht="24" thickBot="1" x14ac:dyDescent="0.3">
      <c r="A7" s="201"/>
      <c r="B7" s="202" t="s">
        <v>53</v>
      </c>
      <c r="C7" s="203">
        <v>1375</v>
      </c>
      <c r="D7" s="203">
        <v>415</v>
      </c>
      <c r="E7" s="203">
        <v>540</v>
      </c>
      <c r="F7" s="203">
        <v>705</v>
      </c>
      <c r="G7" s="203">
        <v>950</v>
      </c>
      <c r="H7" s="203">
        <v>1250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workbookViewId="0">
      <selection activeCell="G10" sqref="G10"/>
    </sheetView>
  </sheetViews>
  <sheetFormatPr defaultRowHeight="15" x14ac:dyDescent="0.25"/>
  <cols>
    <col min="2" max="6" width="20.7109375" customWidth="1"/>
  </cols>
  <sheetData>
    <row r="1" spans="1:6" ht="37.5" x14ac:dyDescent="0.45">
      <c r="B1" s="12" t="s">
        <v>89</v>
      </c>
    </row>
    <row r="4" spans="1:6" ht="15.75" x14ac:dyDescent="0.25">
      <c r="A4" s="92" t="s">
        <v>100</v>
      </c>
      <c r="B4" s="92" t="s">
        <v>1</v>
      </c>
      <c r="C4" s="92" t="s">
        <v>2</v>
      </c>
      <c r="D4" s="92" t="s">
        <v>90</v>
      </c>
      <c r="E4" s="92" t="s">
        <v>91</v>
      </c>
      <c r="F4" s="92" t="s">
        <v>53</v>
      </c>
    </row>
    <row r="5" spans="1:6" ht="15.75" x14ac:dyDescent="0.25">
      <c r="A5" s="95">
        <v>1</v>
      </c>
      <c r="B5" s="93" t="s">
        <v>6</v>
      </c>
      <c r="C5" s="93">
        <v>30.1</v>
      </c>
      <c r="D5" s="93">
        <v>4</v>
      </c>
      <c r="E5" s="93">
        <v>10.6</v>
      </c>
      <c r="F5" s="93">
        <v>44.7</v>
      </c>
    </row>
    <row r="6" spans="1:6" ht="15.75" x14ac:dyDescent="0.25">
      <c r="A6" s="95">
        <v>2</v>
      </c>
      <c r="B6" s="93" t="s">
        <v>7</v>
      </c>
      <c r="C6" s="93">
        <v>35</v>
      </c>
      <c r="D6" s="93">
        <v>8</v>
      </c>
      <c r="E6" s="93">
        <v>28</v>
      </c>
      <c r="F6" s="93">
        <v>71</v>
      </c>
    </row>
    <row r="7" spans="1:6" ht="15.75" x14ac:dyDescent="0.25">
      <c r="A7" s="95">
        <v>3</v>
      </c>
      <c r="B7" s="93" t="s">
        <v>8</v>
      </c>
      <c r="C7" s="93">
        <v>77</v>
      </c>
      <c r="D7" s="93">
        <v>5</v>
      </c>
      <c r="E7" s="93">
        <v>23</v>
      </c>
      <c r="F7" s="93">
        <v>105</v>
      </c>
    </row>
    <row r="8" spans="1:6" ht="15.75" x14ac:dyDescent="0.25">
      <c r="A8" s="95">
        <v>4</v>
      </c>
      <c r="B8" s="93" t="s">
        <v>92</v>
      </c>
      <c r="C8" s="93">
        <v>88.26</v>
      </c>
      <c r="D8" s="93">
        <v>10.46</v>
      </c>
      <c r="E8" s="93">
        <v>43.32</v>
      </c>
      <c r="F8" s="93">
        <v>142.04</v>
      </c>
    </row>
    <row r="9" spans="1:6" ht="31.5" customHeight="1" x14ac:dyDescent="0.25">
      <c r="A9" s="95">
        <v>5</v>
      </c>
      <c r="B9" s="94" t="s">
        <v>101</v>
      </c>
      <c r="C9" s="94">
        <v>126</v>
      </c>
      <c r="D9" s="94">
        <v>10</v>
      </c>
      <c r="E9" s="94">
        <v>146</v>
      </c>
      <c r="F9" s="94">
        <v>282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opLeftCell="A7" zoomScale="130" zoomScaleNormal="130" workbookViewId="0">
      <selection activeCell="I25" sqref="I25"/>
    </sheetView>
  </sheetViews>
  <sheetFormatPr defaultRowHeight="15" x14ac:dyDescent="0.25"/>
  <cols>
    <col min="1" max="1" width="19.140625" customWidth="1"/>
    <col min="2" max="5" width="17.42578125" customWidth="1"/>
  </cols>
  <sheetData>
    <row r="1" spans="1:8" ht="30" x14ac:dyDescent="0.4">
      <c r="A1" s="88" t="s">
        <v>93</v>
      </c>
    </row>
    <row r="3" spans="1:8" ht="15.75" thickBot="1" x14ac:dyDescent="0.3"/>
    <row r="4" spans="1:8" ht="17.25" thickBot="1" x14ac:dyDescent="0.3">
      <c r="A4" s="204" t="s">
        <v>100</v>
      </c>
      <c r="B4" s="204" t="s">
        <v>127</v>
      </c>
      <c r="C4" s="205" t="s">
        <v>13</v>
      </c>
      <c r="D4" s="205" t="s">
        <v>74</v>
      </c>
      <c r="E4" s="205" t="s">
        <v>75</v>
      </c>
      <c r="F4" s="205" t="s">
        <v>82</v>
      </c>
      <c r="G4" s="205" t="s">
        <v>124</v>
      </c>
      <c r="H4" s="205" t="s">
        <v>125</v>
      </c>
    </row>
    <row r="5" spans="1:8" ht="33.75" thickBot="1" x14ac:dyDescent="0.3">
      <c r="A5" s="206">
        <v>1</v>
      </c>
      <c r="B5" s="207" t="s">
        <v>94</v>
      </c>
      <c r="C5" s="208">
        <v>146</v>
      </c>
      <c r="D5" s="208">
        <v>200</v>
      </c>
      <c r="E5" s="208">
        <v>280</v>
      </c>
      <c r="F5" s="208">
        <v>350</v>
      </c>
      <c r="G5" s="213">
        <v>550</v>
      </c>
      <c r="H5" s="213">
        <v>700</v>
      </c>
    </row>
    <row r="6" spans="1:8" ht="17.25" thickBot="1" x14ac:dyDescent="0.3">
      <c r="A6" s="209">
        <v>2</v>
      </c>
      <c r="B6" s="210" t="s">
        <v>95</v>
      </c>
      <c r="C6" s="211">
        <v>136</v>
      </c>
      <c r="D6" s="211">
        <v>145</v>
      </c>
      <c r="E6" s="211">
        <v>155</v>
      </c>
      <c r="F6" s="211">
        <v>170</v>
      </c>
      <c r="G6" s="214">
        <v>200</v>
      </c>
      <c r="H6" s="214">
        <v>300</v>
      </c>
    </row>
    <row r="7" spans="1:8" ht="24" thickBot="1" x14ac:dyDescent="0.3">
      <c r="A7" s="212"/>
      <c r="B7" s="206" t="s">
        <v>96</v>
      </c>
      <c r="C7" s="213">
        <v>282</v>
      </c>
      <c r="D7" s="213">
        <v>345</v>
      </c>
      <c r="E7" s="213">
        <v>435</v>
      </c>
      <c r="F7" s="213">
        <v>520</v>
      </c>
      <c r="G7" s="213">
        <v>750</v>
      </c>
      <c r="H7" s="213">
        <v>1000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K7" sqref="K7"/>
    </sheetView>
  </sheetViews>
  <sheetFormatPr defaultRowHeight="15" x14ac:dyDescent="0.25"/>
  <cols>
    <col min="1" max="1" width="6.7109375" bestFit="1" customWidth="1"/>
    <col min="2" max="4" width="19.28515625" customWidth="1"/>
  </cols>
  <sheetData>
    <row r="1" spans="1:7" ht="16.5" thickBot="1" x14ac:dyDescent="0.3">
      <c r="A1" s="215" t="s">
        <v>0</v>
      </c>
      <c r="B1" s="215" t="s">
        <v>1</v>
      </c>
      <c r="C1" s="215" t="s">
        <v>16</v>
      </c>
      <c r="D1" s="215" t="s">
        <v>17</v>
      </c>
    </row>
    <row r="2" spans="1:7" ht="17.25" thickBot="1" x14ac:dyDescent="0.3">
      <c r="A2" s="216">
        <v>1</v>
      </c>
      <c r="B2" s="217" t="s">
        <v>128</v>
      </c>
      <c r="C2" s="216">
        <v>3</v>
      </c>
      <c r="D2" s="216">
        <v>1</v>
      </c>
      <c r="E2" s="218">
        <v>4</v>
      </c>
    </row>
    <row r="3" spans="1:7" ht="17.25" thickBot="1" x14ac:dyDescent="0.3">
      <c r="A3" s="219">
        <v>2</v>
      </c>
      <c r="B3" s="220" t="s">
        <v>6</v>
      </c>
      <c r="C3" s="219">
        <v>9</v>
      </c>
      <c r="D3" s="219">
        <v>4</v>
      </c>
      <c r="E3" s="221">
        <v>13</v>
      </c>
    </row>
    <row r="4" spans="1:7" ht="17.25" thickBot="1" x14ac:dyDescent="0.3">
      <c r="A4" s="222">
        <v>3</v>
      </c>
      <c r="B4" s="223" t="s">
        <v>7</v>
      </c>
      <c r="C4" s="222">
        <v>2</v>
      </c>
      <c r="D4" s="222">
        <v>0</v>
      </c>
      <c r="E4" s="218">
        <v>2</v>
      </c>
    </row>
    <row r="5" spans="1:7" ht="17.25" thickBot="1" x14ac:dyDescent="0.3">
      <c r="A5" s="219">
        <v>4</v>
      </c>
      <c r="B5" s="220" t="s">
        <v>8</v>
      </c>
      <c r="C5" s="219">
        <v>7</v>
      </c>
      <c r="D5" s="219">
        <v>1</v>
      </c>
      <c r="E5" s="221">
        <v>8</v>
      </c>
    </row>
    <row r="6" spans="1:7" ht="17.25" thickBot="1" x14ac:dyDescent="0.3">
      <c r="A6" s="222">
        <v>5</v>
      </c>
      <c r="B6" s="223" t="s">
        <v>9</v>
      </c>
      <c r="C6" s="222">
        <v>13</v>
      </c>
      <c r="D6" s="222">
        <v>2</v>
      </c>
      <c r="E6" s="218">
        <v>15</v>
      </c>
    </row>
    <row r="7" spans="1:7" ht="17.25" thickBot="1" x14ac:dyDescent="0.3">
      <c r="A7" s="219">
        <v>6</v>
      </c>
      <c r="B7" s="220" t="s">
        <v>129</v>
      </c>
      <c r="C7" s="219">
        <v>4</v>
      </c>
      <c r="D7" s="219">
        <v>0</v>
      </c>
      <c r="E7" s="221">
        <v>4</v>
      </c>
    </row>
    <row r="8" spans="1:7" x14ac:dyDescent="0.25">
      <c r="C8">
        <f>SUM(C2:C7)</f>
        <v>38</v>
      </c>
      <c r="D8">
        <f>SUM(D2:D7)</f>
        <v>8</v>
      </c>
      <c r="E8">
        <f>SUM(E2:E7)</f>
        <v>46</v>
      </c>
    </row>
    <row r="15" spans="1:7" ht="15.75" thickBot="1" x14ac:dyDescent="0.3"/>
    <row r="16" spans="1:7" ht="32.25" thickBot="1" x14ac:dyDescent="0.3">
      <c r="B16" s="215" t="s">
        <v>0</v>
      </c>
      <c r="C16" s="215" t="s">
        <v>1</v>
      </c>
      <c r="D16" s="215" t="s">
        <v>22</v>
      </c>
      <c r="E16" s="215" t="s">
        <v>23</v>
      </c>
      <c r="F16" s="215" t="s">
        <v>16</v>
      </c>
      <c r="G16" s="215" t="s">
        <v>17</v>
      </c>
    </row>
    <row r="17" spans="2:7" ht="17.25" thickBot="1" x14ac:dyDescent="0.3">
      <c r="B17" s="216">
        <v>1</v>
      </c>
      <c r="C17" s="217" t="s">
        <v>128</v>
      </c>
      <c r="D17" s="216">
        <v>3</v>
      </c>
      <c r="E17" s="216">
        <v>2</v>
      </c>
      <c r="F17" s="216">
        <v>3</v>
      </c>
      <c r="G17" s="216">
        <v>1</v>
      </c>
    </row>
    <row r="18" spans="2:7" ht="17.25" thickBot="1" x14ac:dyDescent="0.3">
      <c r="B18" s="219">
        <v>2</v>
      </c>
      <c r="C18" s="220" t="s">
        <v>6</v>
      </c>
      <c r="D18" s="219">
        <v>9</v>
      </c>
      <c r="E18" s="219">
        <v>5</v>
      </c>
      <c r="F18" s="219">
        <v>9</v>
      </c>
      <c r="G18" s="219">
        <v>4</v>
      </c>
    </row>
    <row r="19" spans="2:7" ht="17.25" thickBot="1" x14ac:dyDescent="0.3">
      <c r="B19" s="222">
        <v>3</v>
      </c>
      <c r="C19" s="223" t="s">
        <v>7</v>
      </c>
      <c r="D19" s="222">
        <v>2</v>
      </c>
      <c r="E19" s="222">
        <v>0</v>
      </c>
      <c r="F19" s="222">
        <v>2</v>
      </c>
      <c r="G19" s="222">
        <v>0</v>
      </c>
    </row>
    <row r="20" spans="2:7" ht="17.25" thickBot="1" x14ac:dyDescent="0.3">
      <c r="B20" s="219">
        <v>4</v>
      </c>
      <c r="C20" s="220" t="s">
        <v>8</v>
      </c>
      <c r="D20" s="219">
        <v>8</v>
      </c>
      <c r="E20" s="219">
        <v>0</v>
      </c>
      <c r="F20" s="219">
        <v>7</v>
      </c>
      <c r="G20" s="219">
        <v>1</v>
      </c>
    </row>
    <row r="21" spans="2:7" ht="17.25" thickBot="1" x14ac:dyDescent="0.3">
      <c r="B21" s="222">
        <v>5</v>
      </c>
      <c r="C21" s="223" t="s">
        <v>9</v>
      </c>
      <c r="D21" s="222">
        <v>12</v>
      </c>
      <c r="E21" s="222">
        <v>2</v>
      </c>
      <c r="F21" s="222">
        <v>13</v>
      </c>
      <c r="G21" s="222">
        <v>2</v>
      </c>
    </row>
    <row r="22" spans="2:7" ht="17.25" thickBot="1" x14ac:dyDescent="0.3">
      <c r="B22" s="219">
        <v>6</v>
      </c>
      <c r="C22" s="220" t="s">
        <v>129</v>
      </c>
      <c r="D22" s="219">
        <v>4</v>
      </c>
      <c r="E22" s="219">
        <v>1</v>
      </c>
      <c r="F22" s="219">
        <v>4</v>
      </c>
      <c r="G22" s="219">
        <v>0</v>
      </c>
    </row>
    <row r="23" spans="2:7" ht="24" thickBot="1" x14ac:dyDescent="0.3">
      <c r="B23" s="224"/>
      <c r="C23" s="223" t="s">
        <v>53</v>
      </c>
      <c r="D23" s="224">
        <f>SUM(D17:D22)</f>
        <v>38</v>
      </c>
      <c r="E23" s="224">
        <f>SUM(E17:E22)</f>
        <v>10</v>
      </c>
      <c r="F23" s="224">
        <f>SUM(F17:F22)</f>
        <v>38</v>
      </c>
      <c r="G23" s="224">
        <f>SUM(G17:G22)</f>
        <v>8</v>
      </c>
    </row>
    <row r="24" spans="2:7" ht="15.75" thickBot="1" x14ac:dyDescent="0.3"/>
    <row r="25" spans="2:7" ht="16.5" thickBot="1" x14ac:dyDescent="0.3">
      <c r="C25" s="215" t="s">
        <v>22</v>
      </c>
      <c r="D25" s="215" t="s">
        <v>23</v>
      </c>
    </row>
    <row r="26" spans="2:7" ht="17.25" thickBot="1" x14ac:dyDescent="0.3">
      <c r="C26" s="216">
        <v>3</v>
      </c>
      <c r="D26" s="216">
        <v>2</v>
      </c>
    </row>
    <row r="27" spans="2:7" ht="17.25" thickBot="1" x14ac:dyDescent="0.3">
      <c r="C27" s="219">
        <v>9</v>
      </c>
      <c r="D27" s="219">
        <v>5</v>
      </c>
    </row>
    <row r="28" spans="2:7" ht="17.25" thickBot="1" x14ac:dyDescent="0.3">
      <c r="C28" s="222">
        <v>2</v>
      </c>
      <c r="D28" s="222">
        <v>0</v>
      </c>
    </row>
    <row r="29" spans="2:7" ht="17.25" thickBot="1" x14ac:dyDescent="0.3">
      <c r="C29" s="219">
        <v>8</v>
      </c>
      <c r="D29" s="219">
        <v>0</v>
      </c>
    </row>
    <row r="30" spans="2:7" ht="17.25" thickBot="1" x14ac:dyDescent="0.3">
      <c r="C30" s="222">
        <v>12</v>
      </c>
      <c r="D30" s="222">
        <v>2</v>
      </c>
    </row>
    <row r="31" spans="2:7" ht="17.25" thickBot="1" x14ac:dyDescent="0.3">
      <c r="C31" s="219">
        <v>4</v>
      </c>
      <c r="D31" s="219">
        <v>1</v>
      </c>
    </row>
    <row r="32" spans="2:7" ht="24" thickBot="1" x14ac:dyDescent="0.3">
      <c r="C32" s="224">
        <f>SUM(C26:C31)</f>
        <v>38</v>
      </c>
      <c r="D32" s="224">
        <f>SUM(D26:D31)</f>
        <v>10</v>
      </c>
      <c r="E32">
        <v>48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G3" activeCellId="1" sqref="B3:B8 G3:G8"/>
    </sheetView>
  </sheetViews>
  <sheetFormatPr defaultRowHeight="15" x14ac:dyDescent="0.25"/>
  <sheetData>
    <row r="1" spans="1:7" ht="36" customHeight="1" x14ac:dyDescent="0.3">
      <c r="A1" s="241" t="s">
        <v>0</v>
      </c>
      <c r="B1" s="241" t="s">
        <v>1</v>
      </c>
      <c r="C1" s="233" t="s">
        <v>22</v>
      </c>
      <c r="D1" s="233" t="s">
        <v>23</v>
      </c>
      <c r="E1" s="233" t="s">
        <v>16</v>
      </c>
      <c r="F1" s="235" t="s">
        <v>17</v>
      </c>
      <c r="G1" s="243" t="s">
        <v>131</v>
      </c>
    </row>
    <row r="2" spans="1:7" ht="15.75" thickBot="1" x14ac:dyDescent="0.3">
      <c r="A2" s="242"/>
      <c r="B2" s="242"/>
      <c r="C2" s="234" t="s">
        <v>130</v>
      </c>
      <c r="D2" s="234" t="s">
        <v>130</v>
      </c>
      <c r="E2" s="234" t="s">
        <v>130</v>
      </c>
      <c r="F2" s="236" t="s">
        <v>130</v>
      </c>
      <c r="G2" s="244"/>
    </row>
    <row r="3" spans="1:7" ht="33.75" thickBot="1" x14ac:dyDescent="0.3">
      <c r="A3" s="216">
        <v>1</v>
      </c>
      <c r="B3" s="217" t="s">
        <v>128</v>
      </c>
      <c r="C3" s="216">
        <v>3</v>
      </c>
      <c r="D3" s="216">
        <v>2</v>
      </c>
      <c r="E3" s="216">
        <v>3</v>
      </c>
      <c r="F3" s="216">
        <v>2</v>
      </c>
      <c r="G3" s="216">
        <v>6.5</v>
      </c>
    </row>
    <row r="4" spans="1:7" ht="33.75" thickBot="1" x14ac:dyDescent="0.3">
      <c r="A4" s="219">
        <v>2</v>
      </c>
      <c r="B4" s="220" t="s">
        <v>6</v>
      </c>
      <c r="C4" s="219">
        <v>9</v>
      </c>
      <c r="D4" s="219">
        <v>5</v>
      </c>
      <c r="E4" s="219">
        <v>9</v>
      </c>
      <c r="F4" s="219">
        <v>5</v>
      </c>
      <c r="G4" s="237">
        <v>44</v>
      </c>
    </row>
    <row r="5" spans="1:7" ht="33.75" thickBot="1" x14ac:dyDescent="0.3">
      <c r="A5" s="222">
        <v>3</v>
      </c>
      <c r="B5" s="223" t="s">
        <v>7</v>
      </c>
      <c r="C5" s="222">
        <v>2</v>
      </c>
      <c r="D5" s="222">
        <v>0</v>
      </c>
      <c r="E5" s="222">
        <v>2</v>
      </c>
      <c r="F5" s="222">
        <v>0</v>
      </c>
      <c r="G5" s="238">
        <v>71</v>
      </c>
    </row>
    <row r="6" spans="1:7" ht="33.75" thickBot="1" x14ac:dyDescent="0.3">
      <c r="A6" s="219">
        <v>4</v>
      </c>
      <c r="B6" s="220" t="s">
        <v>8</v>
      </c>
      <c r="C6" s="219">
        <v>8</v>
      </c>
      <c r="D6" s="219">
        <v>0</v>
      </c>
      <c r="E6" s="219">
        <v>7</v>
      </c>
      <c r="F6" s="219">
        <v>1</v>
      </c>
      <c r="G6" s="237">
        <v>105</v>
      </c>
    </row>
    <row r="7" spans="1:7" ht="33.75" thickBot="1" x14ac:dyDescent="0.3">
      <c r="A7" s="222">
        <v>5</v>
      </c>
      <c r="B7" s="223" t="s">
        <v>9</v>
      </c>
      <c r="C7" s="222">
        <v>12</v>
      </c>
      <c r="D7" s="222">
        <v>2</v>
      </c>
      <c r="E7" s="222">
        <v>13</v>
      </c>
      <c r="F7" s="222">
        <v>2</v>
      </c>
      <c r="G7" s="238">
        <v>142</v>
      </c>
    </row>
    <row r="8" spans="1:7" ht="33.75" thickBot="1" x14ac:dyDescent="0.3">
      <c r="A8" s="219">
        <v>6</v>
      </c>
      <c r="B8" s="220" t="s">
        <v>129</v>
      </c>
      <c r="C8" s="219">
        <v>4</v>
      </c>
      <c r="D8" s="219">
        <v>1</v>
      </c>
      <c r="E8" s="219">
        <v>4</v>
      </c>
      <c r="F8" s="219">
        <v>0</v>
      </c>
      <c r="G8" s="237">
        <v>32</v>
      </c>
    </row>
    <row r="9" spans="1:7" ht="24" thickBot="1" x14ac:dyDescent="0.3">
      <c r="A9" s="224"/>
      <c r="B9" s="239" t="s">
        <v>53</v>
      </c>
      <c r="C9" s="240">
        <v>38</v>
      </c>
      <c r="D9" s="240">
        <v>10</v>
      </c>
      <c r="E9" s="240">
        <v>38</v>
      </c>
      <c r="F9" s="240">
        <v>10</v>
      </c>
      <c r="G9" s="240">
        <v>401</v>
      </c>
    </row>
  </sheetData>
  <mergeCells count="3">
    <mergeCell ref="A1:A2"/>
    <mergeCell ref="B1:B2"/>
    <mergeCell ref="G1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Business Performance</vt:lpstr>
      <vt:lpstr>order book</vt:lpstr>
      <vt:lpstr>opportunities pursued</vt:lpstr>
      <vt:lpstr>tender types</vt:lpstr>
      <vt:lpstr>segment wise</vt:lpstr>
      <vt:lpstr>tender analysis</vt:lpstr>
      <vt:lpstr>live tenders</vt:lpstr>
      <vt:lpstr> Export </vt:lpstr>
      <vt:lpstr>export(march 2024)</vt:lpstr>
      <vt:lpstr>Acquisitions</vt:lpstr>
      <vt:lpstr>diversification </vt:lpstr>
      <vt:lpstr>Domestic Order</vt:lpstr>
      <vt:lpstr>Export Order Acquisition </vt:lpstr>
      <vt:lpstr>Sheet1</vt:lpstr>
      <vt:lpstr>summary</vt:lpstr>
      <vt:lpstr>turnover</vt:lpstr>
      <vt:lpstr>Execution Plan</vt:lpstr>
      <vt:lpstr>st and mt with def and non def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BSTC</cp:lastModifiedBy>
  <dcterms:created xsi:type="dcterms:W3CDTF">2024-09-14T02:48:06Z</dcterms:created>
  <dcterms:modified xsi:type="dcterms:W3CDTF">2024-10-04T07:23:10Z</dcterms:modified>
</cp:coreProperties>
</file>