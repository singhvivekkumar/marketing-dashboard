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activeTab="4"/>
  </bookViews>
  <sheets>
    <sheet name="pg 9" sheetId="1" r:id="rId1"/>
    <sheet name="pg 10" sheetId="2" r:id="rId2"/>
    <sheet name="pg 11" sheetId="3" r:id="rId3"/>
    <sheet name="pg 12" sheetId="4" r:id="rId4"/>
    <sheet name="pg 19" sheetId="5" r:id="rId5"/>
    <sheet name="pg 20" sheetId="6" r:id="rId6"/>
    <sheet name="pg 21" sheetId="7" r:id="rId7"/>
    <sheet name="pg 25" sheetId="8" r:id="rId8"/>
  </sheets>
  <calcPr calcId="144525"/>
</workbook>
</file>

<file path=xl/calcChain.xml><?xml version="1.0" encoding="utf-8"?>
<calcChain xmlns="http://schemas.openxmlformats.org/spreadsheetml/2006/main">
  <c r="E9" i="2" l="1"/>
  <c r="D9" i="2"/>
  <c r="C9" i="2"/>
</calcChain>
</file>

<file path=xl/sharedStrings.xml><?xml version="1.0" encoding="utf-8"?>
<sst xmlns="http://schemas.openxmlformats.org/spreadsheetml/2006/main" count="72" uniqueCount="52">
  <si>
    <t>sl.no</t>
  </si>
  <si>
    <t>export</t>
  </si>
  <si>
    <t>domestic</t>
  </si>
  <si>
    <t>FY</t>
  </si>
  <si>
    <t>FY18</t>
  </si>
  <si>
    <t>FY19</t>
  </si>
  <si>
    <t>FY20</t>
  </si>
  <si>
    <t>FY21</t>
  </si>
  <si>
    <t>FY22</t>
  </si>
  <si>
    <t>FY23</t>
  </si>
  <si>
    <t>Revenue growth of IT-BPM sector (In US$ billion)</t>
  </si>
  <si>
    <t>Growth in export revenue (US$ billion)</t>
  </si>
  <si>
    <t>IT</t>
  </si>
  <si>
    <t>BPM</t>
  </si>
  <si>
    <t>Software Products and Engg Services</t>
  </si>
  <si>
    <t>FY16</t>
  </si>
  <si>
    <t>FY17</t>
  </si>
  <si>
    <t>BFSI - a key business vertical for IT &amp; BPM industry</t>
  </si>
  <si>
    <t>Tech Mahinra</t>
  </si>
  <si>
    <t>Mindtree(2020)</t>
  </si>
  <si>
    <t>Wipro</t>
  </si>
  <si>
    <t>TCS</t>
  </si>
  <si>
    <t>Infosys^</t>
  </si>
  <si>
    <t>With over 61% share, the US is a major importer of Tech services</t>
  </si>
  <si>
    <t>USA</t>
  </si>
  <si>
    <t>UK</t>
  </si>
  <si>
    <t>Continental Europe</t>
  </si>
  <si>
    <t>APAC</t>
  </si>
  <si>
    <t>Others</t>
  </si>
  <si>
    <t>Exports to remain robust as global IT industry maintains growth</t>
  </si>
  <si>
    <t>FY24</t>
  </si>
  <si>
    <t>Accelerating demand for cloud to be a major growth driver</t>
  </si>
  <si>
    <t>FY25E</t>
  </si>
  <si>
    <t>FY28E</t>
  </si>
  <si>
    <t>sl</t>
  </si>
  <si>
    <t>Fresher Hiring in 2021</t>
  </si>
  <si>
    <t>Expected Fresher Hiring in 2022</t>
  </si>
  <si>
    <t>DOMAIN</t>
  </si>
  <si>
    <t>Automotive</t>
  </si>
  <si>
    <t>BFSI</t>
  </si>
  <si>
    <t>Core &amp; Energy</t>
  </si>
  <si>
    <t>Engineering Manufacturing</t>
  </si>
  <si>
    <t>Internet Business</t>
  </si>
  <si>
    <t>Others &amp; Diversified</t>
  </si>
  <si>
    <t>Pharma &amp; Healthcare</t>
  </si>
  <si>
    <t>Retail</t>
  </si>
  <si>
    <t>Software, Hardware and IT</t>
  </si>
  <si>
    <t>SMB</t>
  </si>
  <si>
    <t>Government</t>
  </si>
  <si>
    <t>Heathcare**</t>
  </si>
  <si>
    <t>Utilities</t>
  </si>
  <si>
    <t>Media*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</si>
</sst>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IN" sz="1200" b="1" i="0" u="none" strike="noStrike" baseline="0"/>
              <a:t>Revenue growth of IT-BPM sector (In US$ billion) </a:t>
            </a:r>
            <a:endParaRPr lang="en-IN" sz="1200"/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'pg 9'!$C$2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'pg 9'!$B$3:$B$8</c:f>
              <c:strCache>
                <c:ptCount val="6"/>
                <c:pt idx="0">
                  <c:v>FY18</c:v>
                </c:pt>
                <c:pt idx="1">
                  <c:v>FY19</c:v>
                </c:pt>
                <c:pt idx="2">
                  <c:v>FY20</c:v>
                </c:pt>
                <c:pt idx="3">
                  <c:v>FY21</c:v>
                </c:pt>
                <c:pt idx="4">
                  <c:v>FY22</c:v>
                </c:pt>
                <c:pt idx="5">
                  <c:v>FY23</c:v>
                </c:pt>
              </c:strCache>
            </c:strRef>
          </c:cat>
          <c:val>
            <c:numRef>
              <c:f>'pg 9'!$C$3:$C$8</c:f>
              <c:numCache>
                <c:formatCode>General</c:formatCode>
                <c:ptCount val="6"/>
                <c:pt idx="0">
                  <c:v>126</c:v>
                </c:pt>
                <c:pt idx="1">
                  <c:v>136</c:v>
                </c:pt>
                <c:pt idx="2">
                  <c:v>147</c:v>
                </c:pt>
                <c:pt idx="3">
                  <c:v>150</c:v>
                </c:pt>
                <c:pt idx="4">
                  <c:v>170</c:v>
                </c:pt>
                <c:pt idx="5">
                  <c:v>193</c:v>
                </c:pt>
              </c:numCache>
            </c:numRef>
          </c:val>
        </c:ser>
        <c:ser>
          <c:idx val="1"/>
          <c:order val="1"/>
          <c:tx>
            <c:strRef>
              <c:f>'pg 9'!$D$2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'pg 9'!$B$3:$B$8</c:f>
              <c:strCache>
                <c:ptCount val="6"/>
                <c:pt idx="0">
                  <c:v>FY18</c:v>
                </c:pt>
                <c:pt idx="1">
                  <c:v>FY19</c:v>
                </c:pt>
                <c:pt idx="2">
                  <c:v>FY20</c:v>
                </c:pt>
                <c:pt idx="3">
                  <c:v>FY21</c:v>
                </c:pt>
                <c:pt idx="4">
                  <c:v>FY22</c:v>
                </c:pt>
                <c:pt idx="5">
                  <c:v>FY23</c:v>
                </c:pt>
              </c:strCache>
            </c:strRef>
          </c:cat>
          <c:val>
            <c:numRef>
              <c:f>'pg 9'!$D$3:$D$8</c:f>
              <c:numCache>
                <c:formatCode>General</c:formatCode>
                <c:ptCount val="6"/>
                <c:pt idx="0">
                  <c:v>41</c:v>
                </c:pt>
                <c:pt idx="1">
                  <c:v>45</c:v>
                </c:pt>
                <c:pt idx="2">
                  <c:v>44</c:v>
                </c:pt>
                <c:pt idx="3">
                  <c:v>46</c:v>
                </c:pt>
                <c:pt idx="4">
                  <c:v>57</c:v>
                </c:pt>
                <c:pt idx="5">
                  <c:v>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96804992"/>
        <c:axId val="196806528"/>
      </c:barChart>
      <c:catAx>
        <c:axId val="19680499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96806528"/>
        <c:crosses val="autoZero"/>
        <c:auto val="1"/>
        <c:lblAlgn val="ctr"/>
        <c:lblOffset val="100"/>
        <c:noMultiLvlLbl val="0"/>
      </c:catAx>
      <c:valAx>
        <c:axId val="196806528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  <a:alpha val="27000"/>
                </a:schemeClr>
              </a:solidFill>
            </a:ln>
            <a:effectLst>
              <a:outerShdw blurRad="50800" dist="50800" dir="5400000" algn="ctr" rotWithShape="0">
                <a:srgbClr val="000000">
                  <a:alpha val="0"/>
                </a:srgb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9680499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IN" sz="1400" b="1" i="0" u="none" strike="noStrike" baseline="0"/>
              <a:t>Revenue growth of IT-BPM sector (In US$ billion) </a:t>
            </a:r>
            <a:endParaRPr lang="en-IN" sz="1400"/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'pg 10'!$C$3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'pg 10'!$B$4:$B$8</c:f>
              <c:strCache>
                <c:ptCount val="5"/>
                <c:pt idx="0">
                  <c:v>FY16</c:v>
                </c:pt>
                <c:pt idx="1">
                  <c:v>FY17</c:v>
                </c:pt>
                <c:pt idx="2">
                  <c:v>FY18</c:v>
                </c:pt>
                <c:pt idx="3">
                  <c:v>FY19</c:v>
                </c:pt>
                <c:pt idx="4">
                  <c:v>FY23</c:v>
                </c:pt>
              </c:strCache>
            </c:strRef>
          </c:cat>
          <c:val>
            <c:numRef>
              <c:f>'pg 10'!$C$4:$C$8</c:f>
              <c:numCache>
                <c:formatCode>0.0</c:formatCode>
                <c:ptCount val="5"/>
                <c:pt idx="0">
                  <c:v>61</c:v>
                </c:pt>
                <c:pt idx="1">
                  <c:v>66</c:v>
                </c:pt>
                <c:pt idx="2">
                  <c:v>70</c:v>
                </c:pt>
                <c:pt idx="3">
                  <c:v>74</c:v>
                </c:pt>
                <c:pt idx="4">
                  <c:v>103.7</c:v>
                </c:pt>
              </c:numCache>
            </c:numRef>
          </c:val>
        </c:ser>
        <c:ser>
          <c:idx val="1"/>
          <c:order val="1"/>
          <c:tx>
            <c:strRef>
              <c:f>'pg 10'!$D$3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'pg 10'!$B$4:$B$8</c:f>
              <c:strCache>
                <c:ptCount val="5"/>
                <c:pt idx="0">
                  <c:v>FY16</c:v>
                </c:pt>
                <c:pt idx="1">
                  <c:v>FY17</c:v>
                </c:pt>
                <c:pt idx="2">
                  <c:v>FY18</c:v>
                </c:pt>
                <c:pt idx="3">
                  <c:v>FY19</c:v>
                </c:pt>
                <c:pt idx="4">
                  <c:v>FY23</c:v>
                </c:pt>
              </c:strCache>
            </c:strRef>
          </c:cat>
          <c:val>
            <c:numRef>
              <c:f>'pg 10'!$D$4:$D$8</c:f>
              <c:numCache>
                <c:formatCode>0.0</c:formatCode>
                <c:ptCount val="5"/>
                <c:pt idx="0" formatCode="General">
                  <c:v>24.4</c:v>
                </c:pt>
                <c:pt idx="1">
                  <c:v>26</c:v>
                </c:pt>
                <c:pt idx="2">
                  <c:v>28</c:v>
                </c:pt>
                <c:pt idx="3">
                  <c:v>31</c:v>
                </c:pt>
                <c:pt idx="4" formatCode="General">
                  <c:v>42.3</c:v>
                </c:pt>
              </c:numCache>
            </c:numRef>
          </c:val>
        </c:ser>
        <c:ser>
          <c:idx val="2"/>
          <c:order val="2"/>
          <c:tx>
            <c:strRef>
              <c:f>'pg 10'!$E$3</c:f>
              <c:strCache>
                <c:ptCount val="1"/>
                <c:pt idx="0">
                  <c:v>Software Products and Engg Services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'pg 10'!$B$4:$B$8</c:f>
              <c:strCache>
                <c:ptCount val="5"/>
                <c:pt idx="0">
                  <c:v>FY16</c:v>
                </c:pt>
                <c:pt idx="1">
                  <c:v>FY17</c:v>
                </c:pt>
                <c:pt idx="2">
                  <c:v>FY18</c:v>
                </c:pt>
                <c:pt idx="3">
                  <c:v>FY19</c:v>
                </c:pt>
                <c:pt idx="4">
                  <c:v>FY23</c:v>
                </c:pt>
              </c:strCache>
            </c:strRef>
          </c:cat>
          <c:val>
            <c:numRef>
              <c:f>'pg 10'!$E$4:$E$8</c:f>
              <c:numCache>
                <c:formatCode>0.0</c:formatCode>
                <c:ptCount val="5"/>
                <c:pt idx="0" formatCode="General">
                  <c:v>22.4</c:v>
                </c:pt>
                <c:pt idx="1">
                  <c:v>25</c:v>
                </c:pt>
                <c:pt idx="2">
                  <c:v>28</c:v>
                </c:pt>
                <c:pt idx="3">
                  <c:v>31</c:v>
                </c:pt>
                <c:pt idx="4">
                  <c:v>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96899584"/>
        <c:axId val="196901120"/>
      </c:barChart>
      <c:catAx>
        <c:axId val="19689958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96901120"/>
        <c:crosses val="autoZero"/>
        <c:auto val="1"/>
        <c:lblAlgn val="ctr"/>
        <c:lblOffset val="100"/>
        <c:noMultiLvlLbl val="0"/>
      </c:catAx>
      <c:valAx>
        <c:axId val="19690112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  <a:alpha val="15000"/>
                </a:schemeClr>
              </a:solidFill>
            </a:ln>
          </c:spPr>
        </c:majorGridlines>
        <c:numFmt formatCode="0.0" sourceLinked="1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9689958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IN" sz="1200" b="1" i="0" u="none" strike="noStrike" baseline="0"/>
              <a:t>Sector-wise breakup of export revenue (FY23) </a:t>
            </a:r>
            <a:endParaRPr lang="en-IN" sz="1200"/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</c:dPt>
          <c:dPt>
            <c:idx val="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</c:spPr>
          </c:dPt>
          <c:dLbls>
            <c:txPr>
              <a:bodyPr/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'pg 10'!$C$3:$E$3</c:f>
              <c:strCache>
                <c:ptCount val="3"/>
                <c:pt idx="0">
                  <c:v>IT</c:v>
                </c:pt>
                <c:pt idx="1">
                  <c:v>BPM</c:v>
                </c:pt>
                <c:pt idx="2">
                  <c:v>Software Products and Engg Services</c:v>
                </c:pt>
              </c:strCache>
            </c:strRef>
          </c:cat>
          <c:val>
            <c:numRef>
              <c:f>'pg 10'!$C$9:$E$9</c:f>
              <c:numCache>
                <c:formatCode>General</c:formatCode>
                <c:ptCount val="3"/>
                <c:pt idx="0" formatCode="0.0">
                  <c:v>374.7</c:v>
                </c:pt>
                <c:pt idx="1">
                  <c:v>151.69999999999999</c:v>
                </c:pt>
                <c:pt idx="2">
                  <c:v>153.4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IN" sz="1200" b="1" i="0" u="none" strike="noStrike" baseline="0"/>
              <a:t>Revenue share of IT majors from BFSI (FY23) </a:t>
            </a:r>
            <a:endParaRPr lang="en-IN" sz="120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txPr>
              <a:bodyPr rot="-5400000" vert="horz"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'pg 11'!$B$3:$F$3</c:f>
              <c:strCache>
                <c:ptCount val="5"/>
                <c:pt idx="0">
                  <c:v>Tech Mahinra</c:v>
                </c:pt>
                <c:pt idx="1">
                  <c:v>Mindtree(2020)</c:v>
                </c:pt>
                <c:pt idx="2">
                  <c:v>Wipro</c:v>
                </c:pt>
                <c:pt idx="3">
                  <c:v>TCS</c:v>
                </c:pt>
                <c:pt idx="4">
                  <c:v>Infosys^</c:v>
                </c:pt>
              </c:strCache>
            </c:strRef>
          </c:cat>
          <c:val>
            <c:numRef>
              <c:f>'pg 11'!$B$4:$F$4</c:f>
              <c:numCache>
                <c:formatCode>0.00%</c:formatCode>
                <c:ptCount val="5"/>
                <c:pt idx="0">
                  <c:v>0.159</c:v>
                </c:pt>
                <c:pt idx="1">
                  <c:v>0.2046</c:v>
                </c:pt>
                <c:pt idx="2">
                  <c:v>0.34200000000000003</c:v>
                </c:pt>
                <c:pt idx="3">
                  <c:v>0.317</c:v>
                </c:pt>
                <c:pt idx="4">
                  <c:v>0.28899999999999998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6"/>
        <c:axId val="37284480"/>
        <c:axId val="37888384"/>
      </c:barChart>
      <c:catAx>
        <c:axId val="3728448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5400000" vert="horz"/>
          <a:lstStyle/>
          <a:p>
            <a:pPr>
              <a:defRPr sz="1050" b="0"/>
            </a:pPr>
            <a:endParaRPr lang="en-US"/>
          </a:p>
        </c:txPr>
        <c:crossAx val="37888384"/>
        <c:crosses val="autoZero"/>
        <c:auto val="1"/>
        <c:lblAlgn val="ctr"/>
        <c:lblOffset val="100"/>
        <c:noMultiLvlLbl val="0"/>
      </c:catAx>
      <c:valAx>
        <c:axId val="3788838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  <a:alpha val="32000"/>
                </a:schemeClr>
              </a:solidFill>
            </a:ln>
          </c:spPr>
        </c:majorGridlines>
        <c:numFmt formatCode="0.00%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7284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IN" sz="1200" b="1" i="0" u="none" strike="noStrike" baseline="0"/>
              <a:t>Geographic breakup of export revenue in FY23 (%)</a:t>
            </a:r>
            <a:endParaRPr lang="en-IN" sz="1200"/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</c:dPt>
          <c:dPt>
            <c:idx val="2"/>
            <c:bubble3D val="0"/>
            <c:spPr>
              <a:solidFill>
                <a:schemeClr val="accent1">
                  <a:lumMod val="50000"/>
                </a:schemeClr>
              </a:solidFill>
            </c:spPr>
          </c:dPt>
          <c:dPt>
            <c:idx val="3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</c:spPr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</c:spPr>
          </c:dPt>
          <c:dLbls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'pg 12'!$B$3:$F$3</c:f>
              <c:strCache>
                <c:ptCount val="5"/>
                <c:pt idx="0">
                  <c:v>USA</c:v>
                </c:pt>
                <c:pt idx="1">
                  <c:v>UK</c:v>
                </c:pt>
                <c:pt idx="2">
                  <c:v>Continental Europe</c:v>
                </c:pt>
                <c:pt idx="3">
                  <c:v>APAC</c:v>
                </c:pt>
                <c:pt idx="4">
                  <c:v>Others</c:v>
                </c:pt>
              </c:strCache>
            </c:strRef>
          </c:cat>
          <c:val>
            <c:numRef>
              <c:f>'pg 12'!$B$4:$F$4</c:f>
              <c:numCache>
                <c:formatCode>0.00%</c:formatCode>
                <c:ptCount val="5"/>
                <c:pt idx="0">
                  <c:v>0.62</c:v>
                </c:pt>
                <c:pt idx="1">
                  <c:v>0.17</c:v>
                </c:pt>
                <c:pt idx="2">
                  <c:v>0.11</c:v>
                </c:pt>
                <c:pt idx="3">
                  <c:v>0.08</c:v>
                </c:pt>
                <c:pt idx="4">
                  <c:v>0.02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IN" sz="1200" b="1" i="0" u="none" strike="noStrike" baseline="0"/>
              <a:t>Export revenue from IT industry (US$ billion) </a:t>
            </a:r>
            <a:endParaRPr lang="en-IN" sz="120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'pg 19'!$B$4:$B$10</c:f>
              <c:strCache>
                <c:ptCount val="7"/>
                <c:pt idx="0">
                  <c:v>FY18</c:v>
                </c:pt>
                <c:pt idx="1">
                  <c:v>FY19</c:v>
                </c:pt>
                <c:pt idx="2">
                  <c:v>FY20</c:v>
                </c:pt>
                <c:pt idx="3">
                  <c:v>FY21</c:v>
                </c:pt>
                <c:pt idx="4">
                  <c:v>FY22</c:v>
                </c:pt>
                <c:pt idx="5">
                  <c:v>FY23</c:v>
                </c:pt>
                <c:pt idx="6">
                  <c:v>FY24</c:v>
                </c:pt>
              </c:strCache>
            </c:strRef>
          </c:cat>
          <c:val>
            <c:numRef>
              <c:f>'pg 19'!$C$4:$C$10</c:f>
              <c:numCache>
                <c:formatCode>General</c:formatCode>
                <c:ptCount val="7"/>
                <c:pt idx="0">
                  <c:v>126</c:v>
                </c:pt>
                <c:pt idx="1">
                  <c:v>136</c:v>
                </c:pt>
                <c:pt idx="2">
                  <c:v>147</c:v>
                </c:pt>
                <c:pt idx="3">
                  <c:v>151</c:v>
                </c:pt>
                <c:pt idx="4">
                  <c:v>178</c:v>
                </c:pt>
                <c:pt idx="5">
                  <c:v>194</c:v>
                </c:pt>
                <c:pt idx="6">
                  <c:v>199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17"/>
        <c:axId val="37201024"/>
        <c:axId val="37202560"/>
      </c:barChart>
      <c:catAx>
        <c:axId val="3720102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7202560"/>
        <c:crosses val="autoZero"/>
        <c:auto val="1"/>
        <c:lblAlgn val="ctr"/>
        <c:lblOffset val="100"/>
        <c:noMultiLvlLbl val="0"/>
      </c:catAx>
      <c:valAx>
        <c:axId val="3720256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  <a:alpha val="3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7201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IN" sz="1200" b="1" i="0" u="none" strike="noStrike" baseline="0"/>
              <a:t>India data centre market investment (US$ billion) </a:t>
            </a:r>
            <a:endParaRPr lang="en-IN" sz="120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'pg 20'!$B$4:$B$7</c:f>
              <c:strCache>
                <c:ptCount val="4"/>
                <c:pt idx="0">
                  <c:v>FY19</c:v>
                </c:pt>
                <c:pt idx="1">
                  <c:v>FY22</c:v>
                </c:pt>
                <c:pt idx="2">
                  <c:v>FY25E</c:v>
                </c:pt>
                <c:pt idx="3">
                  <c:v>FY28E</c:v>
                </c:pt>
              </c:strCache>
            </c:strRef>
          </c:cat>
          <c:val>
            <c:numRef>
              <c:f>'pg 20'!$C$4:$C$7</c:f>
              <c:numCache>
                <c:formatCode>General</c:formatCode>
                <c:ptCount val="4"/>
                <c:pt idx="0">
                  <c:v>3.4</c:v>
                </c:pt>
                <c:pt idx="1">
                  <c:v>5.42</c:v>
                </c:pt>
                <c:pt idx="2">
                  <c:v>6</c:v>
                </c:pt>
                <c:pt idx="3">
                  <c:v>9.9600000000000009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7953920"/>
        <c:axId val="37955456"/>
      </c:barChart>
      <c:catAx>
        <c:axId val="3795392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7955456"/>
        <c:crosses val="autoZero"/>
        <c:auto val="1"/>
        <c:lblAlgn val="ctr"/>
        <c:lblOffset val="100"/>
        <c:noMultiLvlLbl val="0"/>
      </c:catAx>
      <c:valAx>
        <c:axId val="3795545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  <a:alpha val="4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7953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IN" sz="1050" b="1" i="0" u="none" strike="noStrike" baseline="0"/>
              <a:t>Demand for freshers across industries (growth over the previous year, in %) </a:t>
            </a:r>
            <a:endParaRPr lang="en-IN" sz="1050"/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'pg 21'!$C$2</c:f>
              <c:strCache>
                <c:ptCount val="1"/>
                <c:pt idx="0">
                  <c:v>Fresher Hiring in 2021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'pg 21'!$B$3:$B$11</c:f>
              <c:strCache>
                <c:ptCount val="9"/>
                <c:pt idx="0">
                  <c:v>Automotive</c:v>
                </c:pt>
                <c:pt idx="1">
                  <c:v>BFSI</c:v>
                </c:pt>
                <c:pt idx="2">
                  <c:v>Core &amp; Energy</c:v>
                </c:pt>
                <c:pt idx="3">
                  <c:v>Engineering Manufacturing</c:v>
                </c:pt>
                <c:pt idx="4">
                  <c:v>Internet Business</c:v>
                </c:pt>
                <c:pt idx="5">
                  <c:v>Others &amp; Diversified</c:v>
                </c:pt>
                <c:pt idx="6">
                  <c:v>Pharma &amp; Healthcare</c:v>
                </c:pt>
                <c:pt idx="7">
                  <c:v>Retail</c:v>
                </c:pt>
                <c:pt idx="8">
                  <c:v>Software, Hardware and IT</c:v>
                </c:pt>
              </c:strCache>
            </c:strRef>
          </c:cat>
          <c:val>
            <c:numRef>
              <c:f>'pg 21'!$C$3:$C$11</c:f>
              <c:numCache>
                <c:formatCode>General</c:formatCode>
                <c:ptCount val="9"/>
                <c:pt idx="0">
                  <c:v>16</c:v>
                </c:pt>
                <c:pt idx="1">
                  <c:v>20</c:v>
                </c:pt>
                <c:pt idx="2">
                  <c:v>15</c:v>
                </c:pt>
                <c:pt idx="3">
                  <c:v>20</c:v>
                </c:pt>
                <c:pt idx="4">
                  <c:v>20</c:v>
                </c:pt>
                <c:pt idx="5">
                  <c:v>15</c:v>
                </c:pt>
                <c:pt idx="6">
                  <c:v>21</c:v>
                </c:pt>
                <c:pt idx="7">
                  <c:v>15</c:v>
                </c:pt>
                <c:pt idx="8">
                  <c:v>16</c:v>
                </c:pt>
              </c:numCache>
            </c:numRef>
          </c:val>
        </c:ser>
        <c:ser>
          <c:idx val="1"/>
          <c:order val="1"/>
          <c:tx>
            <c:strRef>
              <c:f>'pg 21'!$D$2</c:f>
              <c:strCache>
                <c:ptCount val="1"/>
                <c:pt idx="0">
                  <c:v>Expected Fresher Hiring in 2022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'pg 21'!$B$3:$B$11</c:f>
              <c:strCache>
                <c:ptCount val="9"/>
                <c:pt idx="0">
                  <c:v>Automotive</c:v>
                </c:pt>
                <c:pt idx="1">
                  <c:v>BFSI</c:v>
                </c:pt>
                <c:pt idx="2">
                  <c:v>Core &amp; Energy</c:v>
                </c:pt>
                <c:pt idx="3">
                  <c:v>Engineering Manufacturing</c:v>
                </c:pt>
                <c:pt idx="4">
                  <c:v>Internet Business</c:v>
                </c:pt>
                <c:pt idx="5">
                  <c:v>Others &amp; Diversified</c:v>
                </c:pt>
                <c:pt idx="6">
                  <c:v>Pharma &amp; Healthcare</c:v>
                </c:pt>
                <c:pt idx="7">
                  <c:v>Retail</c:v>
                </c:pt>
                <c:pt idx="8">
                  <c:v>Software, Hardware and IT</c:v>
                </c:pt>
              </c:strCache>
            </c:strRef>
          </c:cat>
          <c:val>
            <c:numRef>
              <c:f>'pg 21'!$D$3:$D$11</c:f>
              <c:numCache>
                <c:formatCode>General</c:formatCode>
                <c:ptCount val="9"/>
                <c:pt idx="0">
                  <c:v>12</c:v>
                </c:pt>
                <c:pt idx="1">
                  <c:v>23</c:v>
                </c:pt>
                <c:pt idx="2">
                  <c:v>13</c:v>
                </c:pt>
                <c:pt idx="3">
                  <c:v>24</c:v>
                </c:pt>
                <c:pt idx="4">
                  <c:v>25</c:v>
                </c:pt>
                <c:pt idx="5">
                  <c:v>17</c:v>
                </c:pt>
                <c:pt idx="6">
                  <c:v>22</c:v>
                </c:pt>
                <c:pt idx="7">
                  <c:v>17</c:v>
                </c:pt>
                <c:pt idx="8">
                  <c:v>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100"/>
        <c:axId val="38041088"/>
        <c:axId val="38042624"/>
      </c:barChart>
      <c:catAx>
        <c:axId val="3804108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000" b="0"/>
            </a:pPr>
            <a:endParaRPr lang="en-US"/>
          </a:p>
        </c:txPr>
        <c:crossAx val="38042624"/>
        <c:crosses val="autoZero"/>
        <c:auto val="1"/>
        <c:lblAlgn val="ctr"/>
        <c:lblOffset val="100"/>
        <c:noMultiLvlLbl val="0"/>
      </c:catAx>
      <c:valAx>
        <c:axId val="3804262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  <a:alpha val="26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3804108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IN" sz="1050" b="1" i="0" u="none" strike="noStrike" baseline="0"/>
              <a:t>Market size of other progressing verticals by 2020 (US$ billion) </a:t>
            </a:r>
            <a:endParaRPr lang="en-IN" sz="1050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dLbl>
              <c:idx val="3"/>
              <c:layout>
                <c:manualLayout>
                  <c:x val="-5.5829615048118987E-2"/>
                  <c:y val="-4.243778136006664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-5.3929790026246718E-2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'pg 25'!$B$2:$B$6</c:f>
              <c:strCache>
                <c:ptCount val="5"/>
                <c:pt idx="0">
                  <c:v>SMB</c:v>
                </c:pt>
                <c:pt idx="1">
                  <c:v>Government</c:v>
                </c:pt>
                <c:pt idx="2">
                  <c:v>Heathcare**</c:v>
                </c:pt>
                <c:pt idx="3">
                  <c:v>Utilities</c:v>
                </c:pt>
                <c:pt idx="4">
                  <c:v>Media*</c:v>
                </c:pt>
              </c:strCache>
            </c:strRef>
          </c:cat>
          <c:val>
            <c:numRef>
              <c:f>'pg 25'!$C$2:$C$6</c:f>
              <c:numCache>
                <c:formatCode>General</c:formatCode>
                <c:ptCount val="5"/>
                <c:pt idx="0">
                  <c:v>250</c:v>
                </c:pt>
                <c:pt idx="1">
                  <c:v>90</c:v>
                </c:pt>
                <c:pt idx="2">
                  <c:v>372</c:v>
                </c:pt>
                <c:pt idx="3">
                  <c:v>25</c:v>
                </c:pt>
                <c:pt idx="4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40"/>
        <c:axId val="204471680"/>
        <c:axId val="204518912"/>
      </c:barChart>
      <c:catAx>
        <c:axId val="20447168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04518912"/>
        <c:crosses val="autoZero"/>
        <c:auto val="1"/>
        <c:lblAlgn val="ctr"/>
        <c:lblOffset val="100"/>
        <c:noMultiLvlLbl val="0"/>
      </c:catAx>
      <c:valAx>
        <c:axId val="204518912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50000"/>
                  <a:lumOff val="50000"/>
                  <a:alpha val="38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204471680"/>
        <c:crosses val="autoZero"/>
        <c:crossBetween val="between"/>
        <c:majorUnit val="1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405848</xdr:colOff>
      <xdr:row>10</xdr:row>
      <xdr:rowOff>91109</xdr:rowOff>
    </xdr:from>
    <xdr:to>
      <xdr:col>10</xdr:col>
      <xdr:colOff>41414</xdr:colOff>
      <xdr:row>28</xdr:row>
      <xdr:rowOff>16565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11</xdr:row>
      <xdr:rowOff>19050</xdr:rowOff>
    </xdr:from>
    <xdr:to>
      <xdr:col>12</xdr:col>
      <xdr:colOff>219075</xdr:colOff>
      <xdr:row>30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523875</xdr:colOff>
      <xdr:row>40</xdr:row>
      <xdr:rowOff>42862</xdr:rowOff>
    </xdr:from>
    <xdr:to>
      <xdr:col>11</xdr:col>
      <xdr:colOff>19050</xdr:colOff>
      <xdr:row>54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571500</xdr:colOff>
      <xdr:row>15</xdr:row>
      <xdr:rowOff>114300</xdr:rowOff>
    </xdr:from>
    <xdr:to>
      <xdr:col>4</xdr:col>
      <xdr:colOff>581025</xdr:colOff>
      <xdr:row>18</xdr:row>
      <xdr:rowOff>142875</xdr:rowOff>
    </xdr:to>
    <xdr:cxnSp macro="">
      <xdr:nvCxnSpPr>
        <xdr:cNvPr id="5" name="Straight Connector 4"/>
        <xdr:cNvCxnSpPr/>
      </xdr:nvCxnSpPr>
      <xdr:spPr>
        <a:xfrm flipV="1">
          <a:off x="3009900" y="2971800"/>
          <a:ext cx="9525" cy="600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590550</xdr:colOff>
      <xdr:row>15</xdr:row>
      <xdr:rowOff>104775</xdr:rowOff>
    </xdr:from>
    <xdr:to>
      <xdr:col>6</xdr:col>
      <xdr:colOff>257174</xdr:colOff>
      <xdr:row>15</xdr:row>
      <xdr:rowOff>128588</xdr:rowOff>
    </xdr:to>
    <xdr:cxnSp macro="">
      <xdr:nvCxnSpPr>
        <xdr:cNvPr id="7" name="Straight Connector 6"/>
        <xdr:cNvCxnSpPr>
          <a:endCxn id="8" idx="1"/>
        </xdr:cNvCxnSpPr>
      </xdr:nvCxnSpPr>
      <xdr:spPr>
        <a:xfrm>
          <a:off x="3028950" y="2962275"/>
          <a:ext cx="1695449" cy="238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257174</xdr:colOff>
      <xdr:row>14</xdr:row>
      <xdr:rowOff>180975</xdr:rowOff>
    </xdr:from>
    <xdr:to>
      <xdr:col>8</xdr:col>
      <xdr:colOff>76199</xdr:colOff>
      <xdr:row>16</xdr:row>
      <xdr:rowOff>76200</xdr:rowOff>
    </xdr:to>
    <xdr:sp macro="" textlink="">
      <xdr:nvSpPr>
        <xdr:cNvPr id="8" name="TextBox 7"/>
        <xdr:cNvSpPr txBox="1"/>
      </xdr:nvSpPr>
      <xdr:spPr>
        <a:xfrm>
          <a:off x="4724399" y="2847975"/>
          <a:ext cx="103822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/>
            <a:t>CGAR 15.82 %</a:t>
          </a:r>
        </a:p>
      </xdr:txBody>
    </xdr:sp>
    <xdr:clientData/>
  </xdr:twoCellAnchor>
  <xdr:twoCellAnchor>
    <xdr:from>
      <xdr:col>8</xdr:col>
      <xdr:colOff>76199</xdr:colOff>
      <xdr:row>15</xdr:row>
      <xdr:rowOff>128588</xdr:rowOff>
    </xdr:from>
    <xdr:to>
      <xdr:col>10</xdr:col>
      <xdr:colOff>381000</xdr:colOff>
      <xdr:row>15</xdr:row>
      <xdr:rowOff>133350</xdr:rowOff>
    </xdr:to>
    <xdr:cxnSp macro="">
      <xdr:nvCxnSpPr>
        <xdr:cNvPr id="21" name="Straight Arrow Connector 20"/>
        <xdr:cNvCxnSpPr>
          <a:stCxn id="8" idx="3"/>
        </xdr:cNvCxnSpPr>
      </xdr:nvCxnSpPr>
      <xdr:spPr>
        <a:xfrm>
          <a:off x="5762624" y="2986088"/>
          <a:ext cx="1524001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495299</xdr:colOff>
      <xdr:row>9</xdr:row>
      <xdr:rowOff>104775</xdr:rowOff>
    </xdr:from>
    <xdr:to>
      <xdr:col>11</xdr:col>
      <xdr:colOff>314324</xdr:colOff>
      <xdr:row>29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7</xdr:row>
      <xdr:rowOff>161925</xdr:rowOff>
    </xdr:from>
    <xdr:to>
      <xdr:col>11</xdr:col>
      <xdr:colOff>9525</xdr:colOff>
      <xdr:row>28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12</xdr:row>
      <xdr:rowOff>71437</xdr:rowOff>
    </xdr:from>
    <xdr:to>
      <xdr:col>12</xdr:col>
      <xdr:colOff>323850</xdr:colOff>
      <xdr:row>28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0.11529</cdr:x>
      <cdr:y>0.23003</cdr:y>
    </cdr:from>
    <cdr:to>
      <cdr:x>0.11708</cdr:x>
      <cdr:y>0.42239</cdr:y>
    </cdr:to>
    <cdr:cxnSp macro="">
      <cdr:nvCxnSpPr>
        <cdr:cNvPr id="2" name="Straight Connector 1"/>
        <cdr:cNvCxnSpPr/>
      </cdr:nvCxnSpPr>
      <cdr:spPr>
        <a:xfrm xmlns:a="http://schemas.openxmlformats.org/drawingml/2006/main" flipV="1">
          <a:off x="612775" y="717550"/>
          <a:ext cx="9525" cy="6000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0.11888</cdr:x>
      <cdr:y>0.22697</cdr:y>
    </cdr:from>
    <cdr:to>
      <cdr:x>0.43787</cdr:x>
      <cdr:y>0.23461</cdr:y>
    </cdr:to>
    <cdr:cxnSp macro="">
      <cdr:nvCxnSpPr>
        <cdr:cNvPr id="3" name="Straight Connector 2"/>
        <cdr:cNvCxnSpPr>
          <a:endCxn xmlns:a="http://schemas.openxmlformats.org/drawingml/2006/main" id="4" idx="1"/>
        </cdr:cNvCxnSpPr>
      </cdr:nvCxnSpPr>
      <cdr:spPr>
        <a:xfrm xmlns:a="http://schemas.openxmlformats.org/drawingml/2006/main">
          <a:off x="631825" y="708025"/>
          <a:ext cx="1695449" cy="2381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0.43787</cdr:x>
      <cdr:y>0.19033</cdr:y>
    </cdr:from>
    <cdr:to>
      <cdr:x>0.63321</cdr:x>
      <cdr:y>0.27888</cdr:y>
    </cdr:to>
    <cdr:sp macro="" textlink="">
      <cdr:nvSpPr>
        <cdr:cNvPr id="4" name="TextBox 7"/>
        <cdr:cNvSpPr txBox="1"/>
      </cdr:nvSpPr>
      <cdr:spPr>
        <a:xfrm xmlns:a="http://schemas.openxmlformats.org/drawingml/2006/main">
          <a:off x="2327274" y="593725"/>
          <a:ext cx="1038225" cy="2762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IN" sz="1100"/>
            <a:t>CGAR 6.75 %</a:t>
          </a:r>
        </a:p>
      </cdr:txBody>
    </cdr:sp>
  </cdr:relSizeAnchor>
  <cdr:relSizeAnchor xmlns:cdr="http://schemas.openxmlformats.org/drawingml/2006/chartDrawing">
    <cdr:from>
      <cdr:x>0.63321</cdr:x>
      <cdr:y>0.23461</cdr:y>
    </cdr:from>
    <cdr:to>
      <cdr:x>0.91995</cdr:x>
      <cdr:y>0.23613</cdr:y>
    </cdr:to>
    <cdr:cxnSp macro="">
      <cdr:nvCxnSpPr>
        <cdr:cNvPr id="5" name="Straight Arrow Connector 4"/>
        <cdr:cNvCxnSpPr>
          <a:stCxn xmlns:a="http://schemas.openxmlformats.org/drawingml/2006/main" id="4" idx="3"/>
        </cdr:cNvCxnSpPr>
      </cdr:nvCxnSpPr>
      <cdr:spPr>
        <a:xfrm xmlns:a="http://schemas.openxmlformats.org/drawingml/2006/main">
          <a:off x="3365499" y="731838"/>
          <a:ext cx="1524001" cy="476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12</xdr:row>
      <xdr:rowOff>71437</xdr:rowOff>
    </xdr:from>
    <xdr:to>
      <xdr:col>11</xdr:col>
      <xdr:colOff>190500</xdr:colOff>
      <xdr:row>26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1581149</xdr:colOff>
      <xdr:row>16</xdr:row>
      <xdr:rowOff>76200</xdr:rowOff>
    </xdr:from>
    <xdr:to>
      <xdr:col>7</xdr:col>
      <xdr:colOff>438149</xdr:colOff>
      <xdr:row>37</xdr:row>
      <xdr:rowOff>133349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12</xdr:row>
      <xdr:rowOff>71437</xdr:rowOff>
    </xdr:from>
    <xdr:to>
      <xdr:col>11</xdr:col>
      <xdr:colOff>190500</xdr:colOff>
      <xdr:row>26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zoomScale="115" zoomScaleNormal="115" workbookViewId="0">
      <selection activeCell="D31" sqref="D31"/>
    </sheetView>
  </sheetViews>
  <sheetFormatPr defaultRowHeight="15" x14ac:dyDescent="0.25"/>
  <sheetData>
    <row r="1" spans="1:4" x14ac:dyDescent="0.25">
      <c r="A1" t="s">
        <v>10</v>
      </c>
    </row>
    <row r="2" spans="1:4" x14ac:dyDescent="0.25">
      <c r="A2" t="s">
        <v>0</v>
      </c>
      <c r="B2" t="s">
        <v>3</v>
      </c>
      <c r="C2" t="s">
        <v>1</v>
      </c>
      <c r="D2" t="s">
        <v>2</v>
      </c>
    </row>
    <row r="3" spans="1:4" x14ac:dyDescent="0.25">
      <c r="A3">
        <v>1</v>
      </c>
      <c r="B3" t="s">
        <v>4</v>
      </c>
      <c r="C3">
        <v>126</v>
      </c>
      <c r="D3">
        <v>41</v>
      </c>
    </row>
    <row r="4" spans="1:4" x14ac:dyDescent="0.25">
      <c r="A4">
        <v>2</v>
      </c>
      <c r="B4" t="s">
        <v>5</v>
      </c>
      <c r="C4">
        <v>136</v>
      </c>
      <c r="D4">
        <v>45</v>
      </c>
    </row>
    <row r="5" spans="1:4" x14ac:dyDescent="0.25">
      <c r="A5">
        <v>3</v>
      </c>
      <c r="B5" t="s">
        <v>6</v>
      </c>
      <c r="C5">
        <v>147</v>
      </c>
      <c r="D5">
        <v>44</v>
      </c>
    </row>
    <row r="6" spans="1:4" x14ac:dyDescent="0.25">
      <c r="A6">
        <v>4</v>
      </c>
      <c r="B6" t="s">
        <v>7</v>
      </c>
      <c r="C6">
        <v>150</v>
      </c>
      <c r="D6">
        <v>46</v>
      </c>
    </row>
    <row r="7" spans="1:4" x14ac:dyDescent="0.25">
      <c r="A7">
        <v>5</v>
      </c>
      <c r="B7" t="s">
        <v>8</v>
      </c>
      <c r="C7">
        <v>170</v>
      </c>
      <c r="D7">
        <v>57</v>
      </c>
    </row>
    <row r="8" spans="1:4" x14ac:dyDescent="0.25">
      <c r="A8">
        <v>6</v>
      </c>
      <c r="B8" t="s">
        <v>9</v>
      </c>
      <c r="C8">
        <v>193</v>
      </c>
      <c r="D8">
        <v>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opLeftCell="A10" workbookViewId="0">
      <selection activeCell="C29" sqref="C29"/>
    </sheetView>
  </sheetViews>
  <sheetFormatPr defaultRowHeight="15" x14ac:dyDescent="0.25"/>
  <cols>
    <col min="5" max="5" width="21.28515625" customWidth="1"/>
  </cols>
  <sheetData>
    <row r="1" spans="1:5" x14ac:dyDescent="0.25">
      <c r="A1" t="s">
        <v>11</v>
      </c>
    </row>
    <row r="3" spans="1:5" x14ac:dyDescent="0.25">
      <c r="A3" t="s">
        <v>0</v>
      </c>
      <c r="B3" t="s">
        <v>3</v>
      </c>
      <c r="C3" t="s">
        <v>12</v>
      </c>
      <c r="D3" t="s">
        <v>13</v>
      </c>
      <c r="E3" t="s">
        <v>14</v>
      </c>
    </row>
    <row r="4" spans="1:5" x14ac:dyDescent="0.25">
      <c r="A4">
        <v>1</v>
      </c>
      <c r="B4" t="s">
        <v>15</v>
      </c>
      <c r="C4" s="1">
        <v>61</v>
      </c>
      <c r="D4">
        <v>24.4</v>
      </c>
      <c r="E4">
        <v>22.4</v>
      </c>
    </row>
    <row r="5" spans="1:5" x14ac:dyDescent="0.25">
      <c r="A5">
        <v>2</v>
      </c>
      <c r="B5" t="s">
        <v>16</v>
      </c>
      <c r="C5" s="1">
        <v>66</v>
      </c>
      <c r="D5" s="1">
        <v>26</v>
      </c>
      <c r="E5" s="1">
        <v>25</v>
      </c>
    </row>
    <row r="6" spans="1:5" x14ac:dyDescent="0.25">
      <c r="A6">
        <v>3</v>
      </c>
      <c r="B6" t="s">
        <v>4</v>
      </c>
      <c r="C6" s="1">
        <v>70</v>
      </c>
      <c r="D6" s="1">
        <v>28</v>
      </c>
      <c r="E6" s="1">
        <v>28</v>
      </c>
    </row>
    <row r="7" spans="1:5" x14ac:dyDescent="0.25">
      <c r="A7">
        <v>4</v>
      </c>
      <c r="B7" t="s">
        <v>5</v>
      </c>
      <c r="C7" s="1">
        <v>74</v>
      </c>
      <c r="D7" s="1">
        <v>31</v>
      </c>
      <c r="E7" s="1">
        <v>31</v>
      </c>
    </row>
    <row r="8" spans="1:5" x14ac:dyDescent="0.25">
      <c r="A8">
        <v>5</v>
      </c>
      <c r="B8" t="s">
        <v>9</v>
      </c>
      <c r="C8" s="1">
        <v>103.7</v>
      </c>
      <c r="D8">
        <v>42.3</v>
      </c>
      <c r="E8" s="1">
        <v>47</v>
      </c>
    </row>
    <row r="9" spans="1:5" x14ac:dyDescent="0.25">
      <c r="C9" s="1">
        <f>SUM(C4:C8)</f>
        <v>374.7</v>
      </c>
      <c r="D9">
        <f>SUM(D4:D8)</f>
        <v>151.69999999999999</v>
      </c>
      <c r="E9">
        <f>SUM(E4:E8)</f>
        <v>153.4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25" workbookViewId="0">
      <selection activeCell="C31" sqref="C31"/>
    </sheetView>
  </sheetViews>
  <sheetFormatPr defaultRowHeight="15" x14ac:dyDescent="0.25"/>
  <sheetData>
    <row r="1" spans="1:6" x14ac:dyDescent="0.25">
      <c r="A1" t="s">
        <v>17</v>
      </c>
    </row>
    <row r="3" spans="1:6" x14ac:dyDescent="0.25">
      <c r="A3" t="s">
        <v>0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</row>
    <row r="4" spans="1:6" x14ac:dyDescent="0.25">
      <c r="A4">
        <v>1</v>
      </c>
      <c r="B4" s="2">
        <v>0.159</v>
      </c>
      <c r="C4" s="2">
        <v>0.2046</v>
      </c>
      <c r="D4" s="2">
        <v>0.34200000000000003</v>
      </c>
      <c r="E4" s="2">
        <v>0.317</v>
      </c>
      <c r="F4" s="2">
        <v>0.28899999999999998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4" workbookViewId="0">
      <selection activeCell="H30" sqref="H30"/>
    </sheetView>
  </sheetViews>
  <sheetFormatPr defaultRowHeight="15" x14ac:dyDescent="0.25"/>
  <sheetData>
    <row r="1" spans="1:6" x14ac:dyDescent="0.25">
      <c r="A1" t="s">
        <v>23</v>
      </c>
    </row>
    <row r="3" spans="1:6" x14ac:dyDescent="0.25">
      <c r="A3" t="s">
        <v>0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</row>
    <row r="4" spans="1:6" x14ac:dyDescent="0.25">
      <c r="A4">
        <v>1</v>
      </c>
      <c r="B4" s="2">
        <v>0.62</v>
      </c>
      <c r="C4" s="2">
        <v>0.17</v>
      </c>
      <c r="D4" s="2">
        <v>0.11</v>
      </c>
      <c r="E4" s="2">
        <v>0.08</v>
      </c>
      <c r="F4" s="2">
        <v>0.02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N17" sqref="N17"/>
    </sheetView>
  </sheetViews>
  <sheetFormatPr defaultRowHeight="15" x14ac:dyDescent="0.25"/>
  <sheetData>
    <row r="1" spans="1:3" x14ac:dyDescent="0.25">
      <c r="A1" t="s">
        <v>29</v>
      </c>
    </row>
    <row r="3" spans="1:3" x14ac:dyDescent="0.25">
      <c r="A3" t="s">
        <v>0</v>
      </c>
      <c r="B3" t="s">
        <v>3</v>
      </c>
    </row>
    <row r="4" spans="1:3" x14ac:dyDescent="0.25">
      <c r="A4">
        <v>1</v>
      </c>
      <c r="B4" t="s">
        <v>4</v>
      </c>
      <c r="C4">
        <v>126</v>
      </c>
    </row>
    <row r="5" spans="1:3" x14ac:dyDescent="0.25">
      <c r="A5">
        <v>2</v>
      </c>
      <c r="B5" t="s">
        <v>5</v>
      </c>
      <c r="C5">
        <v>136</v>
      </c>
    </row>
    <row r="6" spans="1:3" x14ac:dyDescent="0.25">
      <c r="A6">
        <v>3</v>
      </c>
      <c r="B6" t="s">
        <v>6</v>
      </c>
      <c r="C6">
        <v>147</v>
      </c>
    </row>
    <row r="7" spans="1:3" x14ac:dyDescent="0.25">
      <c r="A7">
        <v>4</v>
      </c>
      <c r="B7" t="s">
        <v>7</v>
      </c>
      <c r="C7">
        <v>151</v>
      </c>
    </row>
    <row r="8" spans="1:3" x14ac:dyDescent="0.25">
      <c r="A8">
        <v>5</v>
      </c>
      <c r="B8" t="s">
        <v>8</v>
      </c>
      <c r="C8">
        <v>178</v>
      </c>
    </row>
    <row r="9" spans="1:3" x14ac:dyDescent="0.25">
      <c r="A9">
        <v>6</v>
      </c>
      <c r="B9" t="s">
        <v>9</v>
      </c>
      <c r="C9">
        <v>194</v>
      </c>
    </row>
    <row r="10" spans="1:3" x14ac:dyDescent="0.25">
      <c r="A10">
        <v>7</v>
      </c>
      <c r="B10" t="s">
        <v>30</v>
      </c>
      <c r="C10">
        <v>199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23" sqref="C23"/>
    </sheetView>
  </sheetViews>
  <sheetFormatPr defaultRowHeight="15" x14ac:dyDescent="0.25"/>
  <sheetData>
    <row r="1" spans="1:3" x14ac:dyDescent="0.25">
      <c r="A1" t="s">
        <v>31</v>
      </c>
    </row>
    <row r="3" spans="1:3" x14ac:dyDescent="0.25">
      <c r="A3" t="s">
        <v>0</v>
      </c>
      <c r="B3" t="s">
        <v>3</v>
      </c>
    </row>
    <row r="4" spans="1:3" x14ac:dyDescent="0.25">
      <c r="A4">
        <v>1</v>
      </c>
      <c r="B4" t="s">
        <v>5</v>
      </c>
      <c r="C4">
        <v>3.4</v>
      </c>
    </row>
    <row r="5" spans="1:3" x14ac:dyDescent="0.25">
      <c r="A5">
        <v>2</v>
      </c>
      <c r="B5" t="s">
        <v>8</v>
      </c>
      <c r="C5">
        <v>5.42</v>
      </c>
    </row>
    <row r="6" spans="1:3" x14ac:dyDescent="0.25">
      <c r="A6">
        <v>3</v>
      </c>
      <c r="B6" t="s">
        <v>32</v>
      </c>
      <c r="C6">
        <v>6</v>
      </c>
    </row>
    <row r="7" spans="1:3" x14ac:dyDescent="0.25">
      <c r="A7">
        <v>4</v>
      </c>
      <c r="B7" t="s">
        <v>33</v>
      </c>
      <c r="C7">
        <v>9.9600000000000009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"/>
  <sheetViews>
    <sheetView workbookViewId="0">
      <selection activeCell="C13" sqref="C13"/>
    </sheetView>
  </sheetViews>
  <sheetFormatPr defaultRowHeight="15" x14ac:dyDescent="0.25"/>
  <cols>
    <col min="2" max="2" width="25.28515625" bestFit="1" customWidth="1"/>
    <col min="3" max="3" width="20.28515625" bestFit="1" customWidth="1"/>
    <col min="4" max="4" width="29.140625" bestFit="1" customWidth="1"/>
  </cols>
  <sheetData>
    <row r="2" spans="1:4" x14ac:dyDescent="0.25">
      <c r="A2" t="s">
        <v>34</v>
      </c>
      <c r="B2" t="s">
        <v>37</v>
      </c>
      <c r="C2" t="s">
        <v>35</v>
      </c>
      <c r="D2" t="s">
        <v>36</v>
      </c>
    </row>
    <row r="3" spans="1:4" x14ac:dyDescent="0.25">
      <c r="A3">
        <v>1</v>
      </c>
      <c r="B3" t="s">
        <v>38</v>
      </c>
      <c r="C3">
        <v>16</v>
      </c>
      <c r="D3">
        <v>12</v>
      </c>
    </row>
    <row r="4" spans="1:4" x14ac:dyDescent="0.25">
      <c r="A4">
        <v>2</v>
      </c>
      <c r="B4" t="s">
        <v>39</v>
      </c>
      <c r="C4">
        <v>20</v>
      </c>
      <c r="D4">
        <v>23</v>
      </c>
    </row>
    <row r="5" spans="1:4" x14ac:dyDescent="0.25">
      <c r="A5">
        <v>3</v>
      </c>
      <c r="B5" t="s">
        <v>40</v>
      </c>
      <c r="C5">
        <v>15</v>
      </c>
      <c r="D5">
        <v>13</v>
      </c>
    </row>
    <row r="6" spans="1:4" x14ac:dyDescent="0.25">
      <c r="A6">
        <v>4</v>
      </c>
      <c r="B6" t="s">
        <v>41</v>
      </c>
      <c r="C6">
        <v>20</v>
      </c>
      <c r="D6">
        <v>24</v>
      </c>
    </row>
    <row r="7" spans="1:4" x14ac:dyDescent="0.25">
      <c r="A7">
        <v>5</v>
      </c>
      <c r="B7" t="s">
        <v>42</v>
      </c>
      <c r="C7">
        <v>20</v>
      </c>
      <c r="D7">
        <v>25</v>
      </c>
    </row>
    <row r="8" spans="1:4" x14ac:dyDescent="0.25">
      <c r="A8">
        <v>6</v>
      </c>
      <c r="B8" t="s">
        <v>43</v>
      </c>
      <c r="C8">
        <v>15</v>
      </c>
      <c r="D8">
        <v>17</v>
      </c>
    </row>
    <row r="9" spans="1:4" x14ac:dyDescent="0.25">
      <c r="A9">
        <v>7</v>
      </c>
      <c r="B9" t="s">
        <v>44</v>
      </c>
      <c r="C9">
        <v>21</v>
      </c>
      <c r="D9">
        <v>22</v>
      </c>
    </row>
    <row r="10" spans="1:4" x14ac:dyDescent="0.25">
      <c r="A10">
        <v>8</v>
      </c>
      <c r="B10" t="s">
        <v>45</v>
      </c>
      <c r="C10">
        <v>15</v>
      </c>
      <c r="D10">
        <v>17</v>
      </c>
    </row>
    <row r="11" spans="1:4" x14ac:dyDescent="0.25">
      <c r="A11">
        <v>9</v>
      </c>
      <c r="B11" t="s">
        <v>46</v>
      </c>
      <c r="C11">
        <v>16</v>
      </c>
      <c r="D11">
        <v>25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"/>
  <sheetViews>
    <sheetView topLeftCell="A4" workbookViewId="0">
      <selection activeCell="L17" sqref="L17"/>
    </sheetView>
  </sheetViews>
  <sheetFormatPr defaultRowHeight="15" x14ac:dyDescent="0.25"/>
  <sheetData>
    <row r="2" spans="1:3" x14ac:dyDescent="0.25">
      <c r="A2" t="s">
        <v>34</v>
      </c>
      <c r="B2" t="s">
        <v>47</v>
      </c>
      <c r="C2">
        <v>250</v>
      </c>
    </row>
    <row r="3" spans="1:3" x14ac:dyDescent="0.25">
      <c r="B3" t="s">
        <v>48</v>
      </c>
      <c r="C3">
        <v>90</v>
      </c>
    </row>
    <row r="4" spans="1:3" x14ac:dyDescent="0.25">
      <c r="B4" t="s">
        <v>49</v>
      </c>
      <c r="C4">
        <v>372</v>
      </c>
    </row>
    <row r="5" spans="1:3" x14ac:dyDescent="0.25">
      <c r="B5" t="s">
        <v>50</v>
      </c>
      <c r="C5">
        <v>25</v>
      </c>
    </row>
    <row r="6" spans="1:3" x14ac:dyDescent="0.25">
      <c r="B6" t="s">
        <v>51</v>
      </c>
      <c r="C6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pg 9</vt:lpstr>
      <vt:lpstr>pg 10</vt:lpstr>
      <vt:lpstr>pg 11</vt:lpstr>
      <vt:lpstr>pg 12</vt:lpstr>
      <vt:lpstr>pg 19</vt:lpstr>
      <vt:lpstr>pg 20</vt:lpstr>
      <vt:lpstr>pg 21</vt:lpstr>
      <vt:lpstr>pg 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BSTC</dc:creator>
  <cp:lastModifiedBy>BSTC</cp:lastModifiedBy>
  <dcterms:created xsi:type="dcterms:W3CDTF">2024-10-03T10:51:41Z</dcterms:created>
  <dcterms:modified xsi:type="dcterms:W3CDTF">2024-10-04T03:58:01Z</dcterms:modified>
</cp:coreProperties>
</file>