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9120" windowHeight="4125" activeTab="2"/>
  </bookViews>
  <sheets>
    <sheet name="Orders Rxd" sheetId="1" r:id="rId1"/>
    <sheet name="Lost" sheetId="2" r:id="rId2"/>
    <sheet name="Leads-D" sheetId="3" r:id="rId3"/>
    <sheet name="Leads-E" sheetId="4" r:id="rId4"/>
    <sheet name="Summary" sheetId="5" r:id="rId5"/>
  </sheets>
  <definedNames>
    <definedName name="_xlnm._FilterDatabase" localSheetId="2" hidden="1">'Leads-D'!$B$3:$X$106</definedName>
    <definedName name="_xlnm._FilterDatabase" localSheetId="3" hidden="1">'Leads-E'!$C$3:$AA$18</definedName>
  </definedNames>
  <calcPr calcId="144525"/>
</workbook>
</file>

<file path=xl/calcChain.xml><?xml version="1.0" encoding="utf-8"?>
<calcChain xmlns="http://schemas.openxmlformats.org/spreadsheetml/2006/main">
  <c r="K109" i="3" l="1"/>
  <c r="K23" i="4" l="1"/>
  <c r="G10" i="1" l="1"/>
  <c r="J62" i="3" l="1"/>
  <c r="J12" i="3"/>
  <c r="J60" i="3" l="1"/>
  <c r="L30" i="3" l="1"/>
  <c r="K30" i="3"/>
  <c r="J58" i="3" l="1"/>
  <c r="J57" i="3"/>
  <c r="J23" i="3" l="1"/>
  <c r="J22" i="3"/>
  <c r="J21" i="3"/>
  <c r="J20" i="3"/>
  <c r="J13" i="3"/>
  <c r="J19" i="3"/>
  <c r="J54" i="3" l="1"/>
  <c r="J53" i="3"/>
  <c r="J44" i="3"/>
  <c r="H5" i="2" l="1"/>
  <c r="K6" i="3" l="1"/>
  <c r="L6" i="3" l="1"/>
</calcChain>
</file>

<file path=xl/comments1.xml><?xml version="1.0" encoding="utf-8"?>
<comments xmlns="http://schemas.openxmlformats.org/spreadsheetml/2006/main">
  <authors>
    <author>Author</author>
  </authors>
  <commentList>
    <comment ref="C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</t>
        </r>
      </text>
    </comment>
    <comment ref="C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C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CRM Lead</t>
        </r>
      </text>
    </comment>
  </commentList>
</comments>
</file>

<file path=xl/sharedStrings.xml><?xml version="1.0" encoding="utf-8"?>
<sst xmlns="http://schemas.openxmlformats.org/spreadsheetml/2006/main" count="1570" uniqueCount="484">
  <si>
    <t>Value in Crores</t>
  </si>
  <si>
    <t>Sl No.</t>
  </si>
  <si>
    <t>Contract name</t>
  </si>
  <si>
    <t>Customer Name</t>
  </si>
  <si>
    <t>Date</t>
  </si>
  <si>
    <t>Type ST/MT</t>
  </si>
  <si>
    <t xml:space="preserve">Value </t>
  </si>
  <si>
    <t>Value with GST</t>
  </si>
  <si>
    <t>Competitors</t>
  </si>
  <si>
    <t>Remarks</t>
  </si>
  <si>
    <t>Contract Copy/Work Order</t>
  </si>
  <si>
    <t>A</t>
  </si>
  <si>
    <t>Domestic</t>
  </si>
  <si>
    <t>B</t>
  </si>
  <si>
    <t>Export</t>
  </si>
  <si>
    <t>Total (E)</t>
  </si>
  <si>
    <t>Grand total (D + E)</t>
  </si>
  <si>
    <t>Total (D)</t>
  </si>
  <si>
    <t>Orders received in 2024-25</t>
  </si>
  <si>
    <t>Sl. No.</t>
  </si>
  <si>
    <t>Tender/Lead Description</t>
  </si>
  <si>
    <t>Customer</t>
  </si>
  <si>
    <t>Tender Type (ST, EOI, RFI, RFP,BQ)</t>
  </si>
  <si>
    <t>Type Of Bid</t>
  </si>
  <si>
    <t>Value (Cr)without GST</t>
  </si>
  <si>
    <t>Value (Cr)with GST</t>
  </si>
  <si>
    <t xml:space="preserve">Reason for Loosing </t>
  </si>
  <si>
    <t>Year</t>
  </si>
  <si>
    <t>Partners</t>
  </si>
  <si>
    <t>Quoted Price</t>
  </si>
  <si>
    <t>Lost Domestic Leads- FY 2024-25</t>
  </si>
  <si>
    <t>Sl.No</t>
  </si>
  <si>
    <t>Lead.Title</t>
  </si>
  <si>
    <t>Multi Tender</t>
  </si>
  <si>
    <t>Lead Owner</t>
  </si>
  <si>
    <t>Business Domain</t>
  </si>
  <si>
    <t>Value of EMD</t>
  </si>
  <si>
    <t>Estimated value in Crs (Without GST)</t>
  </si>
  <si>
    <t>Submitted Bid value in Crs (Without GST)</t>
  </si>
  <si>
    <t>Tender Date</t>
  </si>
  <si>
    <t>last Date of Submission/Submitted date</t>
  </si>
  <si>
    <t xml:space="preserve">
Sole/Consortium</t>
  </si>
  <si>
    <t>Participated with Partner solution/consortium with</t>
  </si>
  <si>
    <t>Pebid Date. Attended</t>
  </si>
  <si>
    <t>Competitors Info</t>
  </si>
  <si>
    <t>Won/Lost
participated/Not participated/pursuing</t>
  </si>
  <si>
    <t>Open/
Closed</t>
  </si>
  <si>
    <t>Order won value in Crs</t>
  </si>
  <si>
    <t>Present Status</t>
  </si>
  <si>
    <t>Reasons for Loosing this opportunity</t>
  </si>
  <si>
    <t>Customer &amp; country</t>
  </si>
  <si>
    <t>Tender Type (EOI, RFP, ST, BQ, Proactive)</t>
  </si>
  <si>
    <t>Lead owner</t>
  </si>
  <si>
    <t>Buisness domain</t>
  </si>
  <si>
    <t>Estimated value in Crs</t>
  </si>
  <si>
    <t>Submitted Bid value</t>
  </si>
  <si>
    <t>Enquiry date</t>
  </si>
  <si>
    <t>last Date of Submission</t>
  </si>
  <si>
    <t>Submitted on</t>
  </si>
  <si>
    <t>Sole/Consortium</t>
  </si>
  <si>
    <t>Participated with Partner Name</t>
  </si>
  <si>
    <t>Pebid Date Attended</t>
  </si>
  <si>
    <t>Won/
Lost / Not participated/pursuing</t>
  </si>
  <si>
    <t>Order won Value</t>
  </si>
  <si>
    <t xml:space="preserve">Remarks </t>
  </si>
  <si>
    <t>Quoted value
(In Crs.)</t>
  </si>
  <si>
    <t>Domestic Leads- FY 2024-25</t>
  </si>
  <si>
    <t>Export Leads- FY 2024-25</t>
  </si>
  <si>
    <t>Summary</t>
  </si>
  <si>
    <t>Sl No</t>
  </si>
  <si>
    <t>Discription</t>
  </si>
  <si>
    <t>Count</t>
  </si>
  <si>
    <t>Value in Crs</t>
  </si>
  <si>
    <t>Tender Analysed</t>
  </si>
  <si>
    <t>RFP</t>
  </si>
  <si>
    <t>Not Partcipated</t>
  </si>
  <si>
    <t>EOI/RFI</t>
  </si>
  <si>
    <t>Participated (won, lost, pursued)</t>
  </si>
  <si>
    <t>ST</t>
  </si>
  <si>
    <t>Won</t>
  </si>
  <si>
    <t>Lost</t>
  </si>
  <si>
    <t>BQ</t>
  </si>
  <si>
    <t>In progress (BQs, U/p)</t>
  </si>
  <si>
    <t>Enquiry</t>
  </si>
  <si>
    <t>Not participated</t>
  </si>
  <si>
    <t>Enquiry/Proactive</t>
  </si>
  <si>
    <t>DRDO</t>
  </si>
  <si>
    <t>Asharani</t>
  </si>
  <si>
    <t>NA</t>
  </si>
  <si>
    <t>28.03.2024</t>
  </si>
  <si>
    <t>17.04.2024</t>
  </si>
  <si>
    <t>Open</t>
  </si>
  <si>
    <t>Invitation of Online Bids for Integration of ATAGS with ACCCS/SHAKTI including implementation of Autonomous Gun mode</t>
  </si>
  <si>
    <t>REQUEST FOR PROPOSAL (RFP) FOR THE SUPPLY, IMPLEMENTATION, MAINTENANCE, AND SUPPORT OF HOSPITAL MANAGEMENT INFORMATION SYSTEM (HMIS)</t>
  </si>
  <si>
    <t>VICTORROCK KENYA LTD</t>
  </si>
  <si>
    <t>Sandeep</t>
  </si>
  <si>
    <t>12.03.2024</t>
  </si>
  <si>
    <t>02.04.2024</t>
  </si>
  <si>
    <t>Suitable Local Company Not Found</t>
  </si>
  <si>
    <t>Ministry of Home Affairs</t>
  </si>
  <si>
    <t>Sivaprasath</t>
  </si>
  <si>
    <t>20.03.2024</t>
  </si>
  <si>
    <t>18.04.2024</t>
  </si>
  <si>
    <t>Provision of Website Design and Content Creation Services for the One-Stop Sustainability Portal</t>
  </si>
  <si>
    <t>Enterprise Singapore</t>
  </si>
  <si>
    <t>19.03.2024</t>
  </si>
  <si>
    <t>12.04.2024</t>
  </si>
  <si>
    <t>Augmentation of existing smart card access of present EACS with Artificial Intelligence based (AI) Face recognition access system, from M/s BEL India.</t>
  </si>
  <si>
    <t>OIL AND NATURAL GAS CORPORATION LTD (ONGC)</t>
  </si>
  <si>
    <t>26.04.2024</t>
  </si>
  <si>
    <t>05.04.2024</t>
  </si>
  <si>
    <t>Health</t>
  </si>
  <si>
    <t>STATE OF NEW YORK BID NUMBER
20857-04164-084
COUNTY OF NASSAU</t>
  </si>
  <si>
    <t>04.04.2024</t>
  </si>
  <si>
    <t>Law Enforcement Software</t>
  </si>
  <si>
    <t>16.04.2024</t>
  </si>
  <si>
    <t>Jamuna</t>
  </si>
  <si>
    <t>13.04.2024</t>
  </si>
  <si>
    <t>Participated</t>
  </si>
  <si>
    <t>Design, Development, Implementation, Operations and Maintenance of the Digi Yatra Central Ecosystem (DYCE) and the Apps</t>
  </si>
  <si>
    <t>Digi Yatra Foundation</t>
  </si>
  <si>
    <t>Mahatma Gandhi Institute of Medical Sciences</t>
  </si>
  <si>
    <t>EoI</t>
  </si>
  <si>
    <t>02.05.2024</t>
  </si>
  <si>
    <t>Upgradation of National Data
Repository of DGH on Cloud Platform</t>
  </si>
  <si>
    <t>23.02.2024</t>
  </si>
  <si>
    <t>22.03.2024</t>
  </si>
  <si>
    <t>MT</t>
  </si>
  <si>
    <t>EQUIPPING AND INSTALLATION OF COLLABORATIVE LEARNING
SPACES AT ANNEX ICA BUILDING AND RAPID TRANSIT SYSTEM LINK CUSTOMS, IMMIGRATION &amp; QUARANTINE BUILDING</t>
  </si>
  <si>
    <t>Solomon</t>
  </si>
  <si>
    <t>Jamuna, Praveen, Sandeep</t>
  </si>
  <si>
    <t>20.04.2024</t>
  </si>
  <si>
    <t>Tender for Design, Implementation, Operation &amp; Maintenance of Unified Municipal System , OMAN</t>
  </si>
  <si>
    <t xml:space="preserve">Border Surveillance System for MOD-Oman                                                           </t>
  </si>
  <si>
    <t>OMAN</t>
  </si>
  <si>
    <t>NICL, OMAN</t>
  </si>
  <si>
    <t>Jamuna, Sandeep</t>
  </si>
  <si>
    <t>CIDSS</t>
  </si>
  <si>
    <t>EV buddy platform</t>
  </si>
  <si>
    <t>Video Analytics- Peru</t>
  </si>
  <si>
    <t>Peru</t>
  </si>
  <si>
    <t>ONGC, Delhi</t>
  </si>
  <si>
    <t>03.05.2024</t>
  </si>
  <si>
    <t xml:space="preserve">Commercial </t>
  </si>
  <si>
    <t>2024-2025</t>
  </si>
  <si>
    <t>DEVELOPMENT OF COMPREHENSIVE NETWORK MANAGEMENT SYSTEM FOR SCN</t>
  </si>
  <si>
    <t>Ramesh</t>
  </si>
  <si>
    <t>30.04.2024</t>
  </si>
  <si>
    <t xml:space="preserve">08.05.2024 </t>
  </si>
  <si>
    <t>Integration of ATAGS with ACCCS/SHAKTI including implementation of Autonomous Gun mode</t>
  </si>
  <si>
    <t>Augmentation of existing smart card access of present EACS with Artificial Intelligence based (Al) Face recognition access system</t>
  </si>
  <si>
    <t>FRS BASED ENTERPRIZE ACCESS CONTROL SYS</t>
  </si>
  <si>
    <t>SBI</t>
  </si>
  <si>
    <t>06.05.2024</t>
  </si>
  <si>
    <t xml:space="preserve"> 
30.05.2024</t>
  </si>
  <si>
    <t>SW SOLN FOR ASSET LIABILITY MANAGEMENT</t>
  </si>
  <si>
    <t>UCO BANK</t>
  </si>
  <si>
    <t>18.05.2024</t>
  </si>
  <si>
    <t>IMPLEMENTATION OF SMART PROJECT</t>
  </si>
  <si>
    <t>10.05.2024</t>
  </si>
  <si>
    <t>14.06.2024</t>
  </si>
  <si>
    <t>EOI</t>
  </si>
  <si>
    <t>Request for Proposal for ERP
Implementation</t>
  </si>
  <si>
    <t>A Unit of Armoured Vehicles Nigam Limited
Heavy Vehicles Factory
Avadi, Chennai, Tiruvallur Distt, Tamil Nadu - 600 054,
India</t>
  </si>
  <si>
    <t>24.04.2024</t>
  </si>
  <si>
    <t>BQ for "AI Enabled Language Translator System (LTS)"</t>
  </si>
  <si>
    <t>Design, Development, Implementation, Cloud Hosting and Maintenance of PDS systems under Scheme for Modernization and Reforms through Technology in Public Distribution System (SMART-PDS) for Department of Food and Public Distribution (DoF&amp;PD) GoI</t>
  </si>
  <si>
    <t xml:space="preserve">
National Informatics Centre
Services Incorporated (NICSI)
NBCC Tower,
15, Bhikaii Cama Place,
New Delhi, 110 066</t>
  </si>
  <si>
    <t>22.01.2024</t>
  </si>
  <si>
    <t>27.05.2024</t>
  </si>
  <si>
    <t>Rwanda Digital Acceleration Project (RDAP)</t>
  </si>
  <si>
    <t>04.06.2024</t>
  </si>
  <si>
    <t>Rwanda Information Society Authority (RISA)
Rwanda</t>
  </si>
  <si>
    <t>The Director
ADE- DRDO,
New Thippasandra Post
Bangalore - 560075</t>
  </si>
  <si>
    <t xml:space="preserve">Raju </t>
  </si>
  <si>
    <t>NSIL</t>
  </si>
  <si>
    <t>1. L&amp;T - 2.49 (2.94 CrsWith GST) L1
2. ECIL - 4.66(5.5 CrsWith GST) L2
3. NMS Works - 8.47(10 Crs With GST) L3
4. BEL - 9.98Crs(11.78 With GST) L4</t>
  </si>
  <si>
    <t>13.05.2024</t>
  </si>
  <si>
    <t>BQ for WIQAS - BEML</t>
  </si>
  <si>
    <t>BQ for CCCS Simulator</t>
  </si>
  <si>
    <t>28.05.2024</t>
  </si>
  <si>
    <t>Sr.DGM. Quality Management                       BEML Limited</t>
  </si>
  <si>
    <t>BQ for O&amp;M Services for ICCC SW for Srinagar Smart City Project (RailTel)</t>
  </si>
  <si>
    <t>RailTel Corporation of India</t>
  </si>
  <si>
    <t>BQ for O&amp;M Services for ICCC SW for Srinagar Smart City Project</t>
  </si>
  <si>
    <t>HLS BEL</t>
  </si>
  <si>
    <t xml:space="preserve">Defence Research &amp; Development Lab      Kanchanbagh
Hyderabad - 500058
</t>
  </si>
  <si>
    <t>24.05.2024</t>
  </si>
  <si>
    <t>BQ for ISRO ISTRAC MCS</t>
  </si>
  <si>
    <t xml:space="preserve">ISRO Telemetry Tracking and Command Network (ISTRAC),                                              ISRO, Bengaluru </t>
  </si>
  <si>
    <t>31.05.2024</t>
  </si>
  <si>
    <t>Request for Proposal for Selection of System Integrator for Design, Development, Implementation and Maintenance of Anna Darpan</t>
  </si>
  <si>
    <t>Food Corporation of India</t>
  </si>
  <si>
    <t>Technical</t>
  </si>
  <si>
    <t>1. COFORGE LIMITED - 67.53
2. INFINITE COMPUTER SOLUTIONS (INDIA) LIMITED - 75.12
3. TATA CONSULTANCY SERVICES LIMITED - 93.37
4. KELLTON TECH SOLUTIONS LIMITED - TECHNICALLY DISQUALIFIED
5. TATA CONSULTANCY SERVICES LIMITED</t>
  </si>
  <si>
    <t xml:space="preserve">SPIC
Defence Research &amp; Development
Organisation
</t>
  </si>
  <si>
    <t>Budgetary Quotation for “Mission Planning Application Software” for SLCM</t>
  </si>
  <si>
    <t xml:space="preserve">Head Checkout,
ANSP, DRDL Project Office RCI Campus, Vignanyakancha Post Kanchanbagh
Hyderabad - 500058
</t>
  </si>
  <si>
    <t>05.06.2024</t>
  </si>
  <si>
    <t>ANSP DRDL</t>
  </si>
  <si>
    <t>12.06.2024</t>
  </si>
  <si>
    <t>DEVELOPMENT OF APPLICATION SOFTWARE FOR LAB FCS CHECKOUT SYSTEM</t>
  </si>
  <si>
    <t>RAJCOMP INFO SERVICES LTD   RISL</t>
  </si>
  <si>
    <t>TOLL CHARGER SOFTWARE-GNSS BASED TOLL</t>
  </si>
  <si>
    <t>IHMCL-EOI</t>
  </si>
  <si>
    <t>11.06.2024</t>
  </si>
  <si>
    <t>22.07.2024</t>
  </si>
  <si>
    <t>Selection of Managed Service Provider (MSP) for the GST System</t>
  </si>
  <si>
    <t>GOODS AND SERVICES TAX NETWORK
4th Floor, Worldmark – 1, East Wing, Aerocity, New Delhi – 110037, India</t>
  </si>
  <si>
    <t>NIT</t>
  </si>
  <si>
    <t>14.07.2024</t>
  </si>
  <si>
    <t>Final Negotiated Price for BNE items S1. No 5 and 6 of the RFP (CNMS and
RNMS)</t>
  </si>
  <si>
    <t>Alpha Design Technologies Pvt Ltd,
#20, Aerospace SEZ sector,
Hitech Defence and Aerospace Park,
Devanahalli, Bengaluru-56211 0</t>
  </si>
  <si>
    <t>Base Cost Estimation for “Development of EV Buddy Platform and Mobile App for Phase 1</t>
  </si>
  <si>
    <t xml:space="preserve">Chief Regional Manager,
NYRO, IMD (BEL),
</t>
  </si>
  <si>
    <t>08.06.2024</t>
  </si>
  <si>
    <t>AI BASED FRS</t>
  </si>
  <si>
    <t>ONGC</t>
  </si>
  <si>
    <t>23.04.2024</t>
  </si>
  <si>
    <t>IMPL. &amp; MAINT. -FINACLE CORE BANKING</t>
  </si>
  <si>
    <t>INDIAN OVERSEAS BANK</t>
  </si>
  <si>
    <t>SECURITY DESIGN SOFTWARE</t>
  </si>
  <si>
    <t>Security Printing And Minting Corporation Of India Limited
(spmcil)</t>
  </si>
  <si>
    <t>18.07.2024</t>
  </si>
  <si>
    <t>18.06.2024</t>
  </si>
  <si>
    <t>SI FOR END TO END ERP SOLUTION</t>
  </si>
  <si>
    <t>TNCSC</t>
  </si>
  <si>
    <t>24.06.2024</t>
  </si>
  <si>
    <t>05.08.2024</t>
  </si>
  <si>
    <t>BQ Alpha design V5.0</t>
  </si>
  <si>
    <t>17.06.2024</t>
  </si>
  <si>
    <t>26.06.2024</t>
  </si>
  <si>
    <t xml:space="preserve">I/c Infocom Services,
A&amp;AA Basin, 
ONGC,
Jorhat
</t>
  </si>
  <si>
    <t>Budgetary Quotation for up-gradation of Central server, Software and Storage
along with a Web-based application at Radar Data Centre for IMD, New Delhi.</t>
  </si>
  <si>
    <t>The Director General of Meteorology(UI)
Mausam Bhawan campus
NEW DELHI - 110003</t>
  </si>
  <si>
    <t>URSC/ISITE Labs,
HAL Old Airport Road PO,
Vimanapura,
Bangalore - 560017</t>
  </si>
  <si>
    <t>25.06.2024</t>
  </si>
  <si>
    <t>CENTRALIZED PLANT INFORMATION SYSTEM</t>
  </si>
  <si>
    <t>THDC</t>
  </si>
  <si>
    <t>05.07.2024</t>
  </si>
  <si>
    <t>31.07.2024</t>
  </si>
  <si>
    <t>12.07.2024</t>
  </si>
  <si>
    <t>MSP FOR END POINT SECURITY</t>
  </si>
  <si>
    <t>NICSI</t>
  </si>
  <si>
    <t>EPayment Services (Epayment) To Government Ministries, Departments, Organs Of State, Statutory Boards And Participating
Entities (PR24-00182 - GVT(T)24010)</t>
  </si>
  <si>
    <t>The Provision Of EPayment Services (Epayment) (PR24-00182 -
GVT(T)24010)</t>
  </si>
  <si>
    <t>01.08.2024</t>
  </si>
  <si>
    <t>08.07.2024</t>
  </si>
  <si>
    <t>Implementation of Integrated Traffic System</t>
  </si>
  <si>
    <t>Royal Oman Police</t>
  </si>
  <si>
    <t>02.06.2024</t>
  </si>
  <si>
    <t>15.08.2024</t>
  </si>
  <si>
    <t xml:space="preserve"> </t>
  </si>
  <si>
    <t>EPAYMENT SERVICES</t>
  </si>
  <si>
    <t>EMISSIONS DATA MONITORING AND ANALYSIS</t>
  </si>
  <si>
    <t>MOF, SINGAPORE</t>
  </si>
  <si>
    <t>10.07.2024</t>
  </si>
  <si>
    <t>12.08.2024</t>
  </si>
  <si>
    <t>FRS &amp; SRS,IR-4DBRIM APPLICATION</t>
  </si>
  <si>
    <t>HUMAN RESOURCE MANAGEMENT SOFTWARE</t>
  </si>
  <si>
    <t>INDIAN RAILWAYS</t>
  </si>
  <si>
    <t>KERELA STATE CIVIL DEPT.</t>
  </si>
  <si>
    <t>11.07.2024</t>
  </si>
  <si>
    <t>25.07.2024</t>
  </si>
  <si>
    <t>02.08.2024</t>
  </si>
  <si>
    <t>Alpha Design Technologies Pvt Ltd,
#20, Aerospace SEZ sector,
Hitech Defence and Aerospace Park, Devanahalli, Bengaluru-56211 0</t>
  </si>
  <si>
    <t>BQ for eChhawani (Water Billing)</t>
  </si>
  <si>
    <t>BQ for "Tactical Mission Scenario Simulator"</t>
  </si>
  <si>
    <t xml:space="preserve">BQ for "Development of Costing and Budget Analytics Online System (COBOLS)" </t>
  </si>
  <si>
    <t>Directorate General Of Hydrocarbons (DGH) Noida</t>
  </si>
  <si>
    <t>Director General,                                             Defence Estates, MOD</t>
  </si>
  <si>
    <t>Design, Development, Integration, Deployment, Implementation and Maintenance of a Web-based
Hospital Information Management System (HIMS)</t>
  </si>
  <si>
    <t xml:space="preserve">Maj Sandeep kumar Yadav                        Proj.off                                                                For Offg Co                                                                          22 WRLS Exptl Unit </t>
  </si>
  <si>
    <t xml:space="preserve">Supply, installation &amp; commissioning of IT infrastructure] And software
Development for establishing vessel Communication &amp; support system (VCS) for Monitoring, control &amp; surveillance (MCS)
</t>
  </si>
  <si>
    <t>CRM Leads ID</t>
  </si>
  <si>
    <t>CRM Lead ID</t>
  </si>
  <si>
    <t>Artificial Intelligence</t>
  </si>
  <si>
    <t>Not Applicable</t>
  </si>
  <si>
    <t>In Progress</t>
  </si>
  <si>
    <t>Contract Awarded</t>
  </si>
  <si>
    <t>Wipro
Infosys
TCS etc.(Total 12 Completitors)</t>
  </si>
  <si>
    <t>PQ Submitted</t>
  </si>
  <si>
    <t>PQ submission deadline: 22.04.2024
Submission of RFP response: 24.06.2024
TQ Submission Date: 04.08.2024</t>
  </si>
  <si>
    <t>AyanWorks</t>
  </si>
  <si>
    <t>PQ Submitted
TQ In Progress</t>
  </si>
  <si>
    <t>Participated - Won</t>
  </si>
  <si>
    <t>eGov</t>
  </si>
  <si>
    <t>BQ Submitted</t>
  </si>
  <si>
    <t>Simulator</t>
  </si>
  <si>
    <t>Not - Participated</t>
  </si>
  <si>
    <t>Closed</t>
  </si>
  <si>
    <t>PQ &amp; TQ not Met</t>
  </si>
  <si>
    <t>Cloud</t>
  </si>
  <si>
    <t>Smart City</t>
  </si>
  <si>
    <t>IT Infrastructure</t>
  </si>
  <si>
    <t>30.05.2024</t>
  </si>
  <si>
    <t>Army</t>
  </si>
  <si>
    <t>Jamuna,Shyamala</t>
  </si>
  <si>
    <t>Pursuing</t>
  </si>
  <si>
    <t>Contract Amendment in Progress</t>
  </si>
  <si>
    <t>ERP</t>
  </si>
  <si>
    <t>Praveen, Solomon</t>
  </si>
  <si>
    <t>EoI Submitted in Progress</t>
  </si>
  <si>
    <t>Software</t>
  </si>
  <si>
    <t>Defence</t>
  </si>
  <si>
    <t>Budgetary Quotation for "Sharang NG for S5" Software application</t>
  </si>
  <si>
    <t>DRDL</t>
  </si>
  <si>
    <t>16.07.2024</t>
  </si>
  <si>
    <t>BQ for Low Level Transportable Radar LLTR (Ashwini)</t>
  </si>
  <si>
    <t>BEL
Shri Yashwanth C K</t>
  </si>
  <si>
    <t>Directorate of Financial Planning 
Air Headquarter
Vayu Bhawan
New Delhi</t>
  </si>
  <si>
    <t>BQ for "Development of VLSRSAM Simulator" Software application</t>
  </si>
  <si>
    <t>DRDL
Kanchanbagh Hyderabad</t>
  </si>
  <si>
    <t>BQ for Installation of face recognition based attendance system in M/S ONGC</t>
  </si>
  <si>
    <t>BQ for "AI Based Interactive Document Module, SANDARBH.AI" for INICAI</t>
  </si>
  <si>
    <t>Ministry of Defence (Navy)
New Delhi</t>
  </si>
  <si>
    <t>BQ for "AI based Multilingual language translator PRASHIKSHAN.AI" for INICAI, Indian Navy</t>
  </si>
  <si>
    <t>BQ for "AI based Voice Analyser ANTARBHASHI.AI" for INICAI, Indian Navy</t>
  </si>
  <si>
    <t>INTEGRATED DIGITAL TRANSFORMATION SYS</t>
  </si>
  <si>
    <t>INTEGRATED DIGITAL ASSET MODELLING</t>
  </si>
  <si>
    <t>MAH HOUSING &amp; AREA DEVELOPMENT AUTH</t>
  </si>
  <si>
    <t>19.07.2024</t>
  </si>
  <si>
    <t xml:space="preserve"> 
19.07.2024</t>
  </si>
  <si>
    <t>30.07.2024</t>
  </si>
  <si>
    <r>
      <rPr>
        <b/>
        <sz val="11"/>
        <color theme="1"/>
        <rFont val="Bookman Old Style"/>
        <family val="1"/>
      </rPr>
      <t>29.06.2024</t>
    </r>
    <r>
      <rPr>
        <sz val="11"/>
        <color theme="1"/>
        <rFont val="Bookman Old Style"/>
        <family val="1"/>
      </rPr>
      <t xml:space="preserve">
01.07.2024
Extended date of submission:25.07.2024</t>
    </r>
  </si>
  <si>
    <t>ADE, DRDO</t>
  </si>
  <si>
    <t>BQ for "SANDARBH.AI (AI based Interactive Document Module)" for ADB, Indian Army.</t>
  </si>
  <si>
    <t>Army Defence Bureau (ADB)
New Delhi</t>
  </si>
  <si>
    <r>
      <t xml:space="preserve">Budgetary Quotation for Budgetary Estimation for  AFSB </t>
    </r>
    <r>
      <rPr>
        <b/>
        <sz val="11"/>
        <color theme="1"/>
        <rFont val="Bookman Old Style"/>
        <family val="1"/>
      </rPr>
      <t>Gandhinagar  Station</t>
    </r>
  </si>
  <si>
    <r>
      <t xml:space="preserve">Budgetary Quotation for Budgetary Estimation for  </t>
    </r>
    <r>
      <rPr>
        <b/>
        <sz val="11"/>
        <color theme="1"/>
        <rFont val="Bookman Old Style"/>
        <family val="1"/>
      </rPr>
      <t>Mysuru AFSB Station</t>
    </r>
    <r>
      <rPr>
        <sz val="11"/>
        <color theme="1"/>
        <rFont val="Bookman Old Style"/>
        <family val="1"/>
      </rPr>
      <t xml:space="preserve">   (Upgrade)</t>
    </r>
  </si>
  <si>
    <r>
      <t xml:space="preserve">Budgetary Quotation for "Computerised Pilot Selection System (CPSS)" - </t>
    </r>
    <r>
      <rPr>
        <b/>
        <sz val="11"/>
        <color theme="1"/>
        <rFont val="Bookman Old Style"/>
        <family val="1"/>
      </rPr>
      <t>ADE DRDO</t>
    </r>
  </si>
  <si>
    <r>
      <t xml:space="preserve">Budgetary Quotation for "Computerised Pilot Selection System (CPSS)" - </t>
    </r>
    <r>
      <rPr>
        <b/>
        <sz val="11"/>
        <color theme="1"/>
        <rFont val="Bookman Old Style"/>
        <family val="1"/>
      </rPr>
      <t>DIPR DRDO</t>
    </r>
  </si>
  <si>
    <r>
      <t xml:space="preserve">Budgetary Quotation for for  </t>
    </r>
    <r>
      <rPr>
        <b/>
        <sz val="11"/>
        <color theme="1"/>
        <rFont val="Bookman Old Style"/>
        <family val="1"/>
      </rPr>
      <t>AFSB Guwahati Station</t>
    </r>
  </si>
  <si>
    <r>
      <t>Budgetary Quotation for</t>
    </r>
    <r>
      <rPr>
        <b/>
        <sz val="11"/>
        <color theme="1"/>
        <rFont val="Bookman Old Style"/>
        <family val="1"/>
      </rPr>
      <t xml:space="preserve"> Varanasi AFSB Station   (Upgrade)</t>
    </r>
  </si>
  <si>
    <r>
      <t>Budgetary Quotation for</t>
    </r>
    <r>
      <rPr>
        <b/>
        <sz val="11"/>
        <color theme="1"/>
        <rFont val="Bookman Old Style"/>
        <family val="1"/>
      </rPr>
      <t xml:space="preserve"> Dehradun AFSB Station   (Upgrade)</t>
    </r>
  </si>
  <si>
    <t>Onsite Engineer Support @ Gandhinagar,Mysuru  (optional)</t>
  </si>
  <si>
    <t xml:space="preserve">CPSS Common Item Cost </t>
  </si>
  <si>
    <t>CENTRAL BANK DIGITAL CURRENCY PROJECT</t>
  </si>
  <si>
    <t>16.08.2024</t>
  </si>
  <si>
    <t>Ten Digit Palm Print Live Scanning System</t>
  </si>
  <si>
    <t>Delhi Police</t>
  </si>
  <si>
    <t>Rate Contract RFP for Development and FMS of Web Portals &amp; Websites
in AEM</t>
  </si>
  <si>
    <t>RajCOMP Info Services Limited (RISL)</t>
  </si>
  <si>
    <t>14.08.2024</t>
  </si>
  <si>
    <t>BQ submitted</t>
  </si>
  <si>
    <t xml:space="preserve">POC </t>
  </si>
  <si>
    <t>Pre RFP</t>
  </si>
  <si>
    <t>BQ for Development, IV&amp;V, Integration, Testing and Certification of Softawre for Primary Radar System.</t>
  </si>
  <si>
    <t>LRDE, DRDO</t>
  </si>
  <si>
    <t>Artificial Intelligence
Defence</t>
  </si>
  <si>
    <t>Defence/Non Defence</t>
  </si>
  <si>
    <t>Non Defence</t>
  </si>
  <si>
    <t>Budgetary Quotation for "Independent Verification and Validation Services to Onboard Ground Software at URSC Bangalore</t>
  </si>
  <si>
    <t>ERP IMPLEMENTATION</t>
  </si>
  <si>
    <t>KPDCL  JAMMU &amp; KASHMIR</t>
  </si>
  <si>
    <t>31.08.2024</t>
  </si>
  <si>
    <t>12.07.2024
01.08.2024</t>
  </si>
  <si>
    <t>HIRING OF IT SERVICES FOR
DESIGN DEVELOPMENT OF INTEGRATED PAY ALLOWANCE
DISBURSEMENT SOFTWARE</t>
  </si>
  <si>
    <t xml:space="preserve">Ministry Of Defence
Department Of Military Affairs
</t>
  </si>
  <si>
    <t>19.08.2024</t>
  </si>
  <si>
    <t>Chinta /Sravanthy</t>
  </si>
  <si>
    <t>Commercial Quotation for “Proposal for Deployment of Firewall at Remote Location for AIIMS, Delhi”</t>
  </si>
  <si>
    <t>08.08.2024</t>
  </si>
  <si>
    <t>Praveen</t>
  </si>
  <si>
    <t>Oil and Natural Gas Corporation Ltd. (ONGC)</t>
  </si>
  <si>
    <t>Warehouse Management and RTLS system at Nhava (Mumbai) and Ahmedabad (Gujarat)</t>
  </si>
  <si>
    <t>Kerala State Civil Supplies Department</t>
  </si>
  <si>
    <t>Request for Proposals (RFP) Document For Human Resource Management Software Department of CivilSupplies and Consumer Affairs, Government of Kerala</t>
  </si>
  <si>
    <t>07.08.2024</t>
  </si>
  <si>
    <t>29.08.2024</t>
  </si>
  <si>
    <t>Request for Proposal (RFP) Document for Design, Development, Implementation &amp; Maintenance of Integrated Health Management System 2.0 (iHMS 2.0) for the State of Rajasthan</t>
  </si>
  <si>
    <t>18.09.2024</t>
  </si>
  <si>
    <t>RajCOMP Info Services Limited (RISL), First Floor, C- Block, Yojana Bhawan, Tilak Marg, C-Scheme, Jaipur-302005 (Rajasthan)</t>
  </si>
  <si>
    <t>Sivaprasath/Sravanthy</t>
  </si>
  <si>
    <t>Budgetary Quotation for "Migrating ILMS (Air) application database from Oracle to open source database (PostgreSQL)"</t>
  </si>
  <si>
    <t>The Director 
Centre for Naval Aviation Management 
System (CNAMS) 
Naval Base 
Kochi 682004 
Kerel</t>
  </si>
  <si>
    <t>BQ for Installation of face recognition based attendance system in M/S ONGC Uran</t>
  </si>
  <si>
    <t>ONGC
Uran Plant
Navi Mumbai
Kind Attn: Gyanender Singh</t>
  </si>
  <si>
    <t>Civil</t>
  </si>
  <si>
    <t>ERP SYSTEM FOR RAJASTHAN DISCOMS</t>
  </si>
  <si>
    <t>RAJASTHAN DISCOMS</t>
  </si>
  <si>
    <t>21.08.2024</t>
  </si>
  <si>
    <t xml:space="preserve">All India Institute of Medical Sciences                                  
(AIIMS)
</t>
  </si>
  <si>
    <t xml:space="preserve">
1.53</t>
  </si>
  <si>
    <t xml:space="preserve">
4.94</t>
  </si>
  <si>
    <t>17.08.2024</t>
  </si>
  <si>
    <t>13.09.2024</t>
  </si>
  <si>
    <t>MUNICAIPAL CORP OF GREATER MUMBAI</t>
  </si>
  <si>
    <t>AUTOMATIC PARKING GUIDANCE AND MANAGEMENT</t>
  </si>
  <si>
    <t>ERP SYSTEM</t>
  </si>
  <si>
    <t>MANIPUR</t>
  </si>
  <si>
    <t>30.08.2024</t>
  </si>
  <si>
    <t>Budgetary Quotation for Phase 1: Design and Development of HYBRID QA 4.0 Solution(Common Proposal)</t>
  </si>
  <si>
    <t>13.08.2024</t>
  </si>
  <si>
    <t>13.08.2025</t>
  </si>
  <si>
    <r>
      <t xml:space="preserve">The Chief General Manager 
</t>
    </r>
    <r>
      <rPr>
        <b/>
        <sz val="11"/>
        <color theme="1"/>
        <rFont val="Bookman Old Style"/>
        <family val="1"/>
      </rPr>
      <t xml:space="preserve">Machine Tool Protype Factory, </t>
    </r>
    <r>
      <rPr>
        <sz val="11"/>
        <color theme="1"/>
        <rFont val="Bookman Old Style"/>
        <family val="1"/>
      </rPr>
      <t xml:space="preserve">
An unit of AVNL 
Ordnance Estate Ambernath,
maharashtra - 421502
Kind Attn.: Shri. P K Bummerkar, Chief General Manager</t>
    </r>
  </si>
  <si>
    <r>
      <t xml:space="preserve">The Head-Corporate Quality
</t>
    </r>
    <r>
      <rPr>
        <b/>
        <sz val="11"/>
        <color theme="1"/>
        <rFont val="Bookman Old Style"/>
        <family val="1"/>
      </rPr>
      <t>Bharat Earth Movers limited</t>
    </r>
    <r>
      <rPr>
        <sz val="11"/>
        <color theme="1"/>
        <rFont val="Bookman Old Style"/>
        <family val="1"/>
      </rPr>
      <t xml:space="preserve">
bangalore-560027
Karnataka,India
Kind Attn.: Mrs. Gayathri PV, Head-corporate Quality</t>
    </r>
  </si>
  <si>
    <r>
      <t xml:space="preserve">The Chief General Manager 
</t>
    </r>
    <r>
      <rPr>
        <b/>
        <sz val="11"/>
        <color theme="1"/>
        <rFont val="Bookman Old Style"/>
        <family val="1"/>
      </rPr>
      <t>Vehicle Factory Jabalpura,</t>
    </r>
    <r>
      <rPr>
        <sz val="11"/>
        <color theme="1"/>
        <rFont val="Bookman Old Style"/>
        <family val="1"/>
      </rPr>
      <t xml:space="preserve">
An unit of AVNL,
Jabalpur,Pradesh -428009
Kind Attn.: Shri. Sanjeev Kumar Bhola,Chief General Manager </t>
    </r>
  </si>
  <si>
    <t>13.08.2026</t>
  </si>
  <si>
    <t>Budgetary Quotation for Phase 1:Design and Development of of HYBRID QA 4.0 Solution(Common Proposal)</t>
  </si>
  <si>
    <r>
      <t xml:space="preserve">The Chief General Manager
</t>
    </r>
    <r>
      <rPr>
        <b/>
        <sz val="11"/>
        <color theme="1"/>
        <rFont val="Bookman Old Style"/>
        <family val="1"/>
      </rPr>
      <t>Engine Factory
An Unit of AVNL</t>
    </r>
    <r>
      <rPr>
        <sz val="11"/>
        <color theme="1"/>
        <rFont val="Bookman Old Style"/>
        <family val="1"/>
      </rPr>
      <t xml:space="preserve">
Avadi, Chennai, TamilNadu - 600054
Kind Attn.: Shri Rajeev Mathur, Chief General Manager</t>
    </r>
  </si>
  <si>
    <t>13.08.2027</t>
  </si>
  <si>
    <t>23.04.2024
19.08.2024</t>
  </si>
  <si>
    <t>ONGC,
Avani Bhavan,
Ahmedabad.
Kind Attn: Mr. Virender Singh 
singh_virender@ongc.co.in</t>
  </si>
  <si>
    <t>22.08.2024</t>
  </si>
  <si>
    <r>
      <t xml:space="preserve">The Chief General Manager
</t>
    </r>
    <r>
      <rPr>
        <b/>
        <sz val="11"/>
        <color theme="1"/>
        <rFont val="Bookman Old Style"/>
        <family val="1"/>
      </rPr>
      <t xml:space="preserve">Heavy Vehicles Factory
</t>
    </r>
    <r>
      <rPr>
        <sz val="11"/>
        <color theme="1"/>
        <rFont val="Bookman Old Style"/>
        <family val="1"/>
      </rPr>
      <t>An Unit of AVNL
Avadi, Chennai, TamilNadu - 600054
Kind Attn.: Shri V.R.Rambhad, Chief General Manager</t>
    </r>
  </si>
  <si>
    <r>
      <t>The General Manager
Ordnance Factory Medak,</t>
    </r>
    <r>
      <rPr>
        <b/>
        <sz val="11"/>
        <color theme="1"/>
        <rFont val="Bookman Old Style"/>
        <family val="1"/>
      </rPr>
      <t xml:space="preserve">
An Unit of AVNL</t>
    </r>
    <r>
      <rPr>
        <sz val="11"/>
        <color theme="1"/>
        <rFont val="Bookman Old Style"/>
        <family val="1"/>
      </rPr>
      <t xml:space="preserve">
Yeddumailaram(PO), Kandi (Md1)
Sangareddy (Dt), Telanganam - 502205
Kind Attn.: 1.Shri.Atul Kumar Bapat, General Manager</t>
    </r>
  </si>
  <si>
    <r>
      <t>BQ for Installation of face recognition based attendance system in M/s ONGC</t>
    </r>
    <r>
      <rPr>
        <b/>
        <sz val="11"/>
        <color theme="1"/>
        <rFont val="Bookman Old Style"/>
        <family val="1"/>
      </rPr>
      <t xml:space="preserve"> Avani Bhavan</t>
    </r>
  </si>
  <si>
    <r>
      <t xml:space="preserve">BQ for Installation of face recognition based attendance system in M/s ONGC </t>
    </r>
    <r>
      <rPr>
        <b/>
        <sz val="11"/>
        <color theme="1"/>
        <rFont val="Bookman Old Style"/>
        <family val="1"/>
      </rPr>
      <t>Rajahmundry</t>
    </r>
  </si>
  <si>
    <t>EE (Electronics)
ONGC,
Rajahmundry
Kind Attn: Mr. Saurabh Chakraverty 
chakraverty_saurabh@ongc.co.in</t>
  </si>
  <si>
    <t>Hybrid QA 4.0 to GRSE</t>
  </si>
  <si>
    <t>Hybrid QA 4.0 to MDL</t>
  </si>
  <si>
    <t>Hybrid QA 4.0 to HSL</t>
  </si>
  <si>
    <t>Hybrid QA 4.0 to BDL</t>
  </si>
  <si>
    <t>Hybrid QA 4.0 to TCL</t>
  </si>
  <si>
    <t>Hybrid QA 4.0 to YIL</t>
  </si>
  <si>
    <t>Hybrid QA 4.0 to HAL (Aircraft Division Bangalore)</t>
  </si>
  <si>
    <t>Hybrid QA 4.0 to HAL (Foundary Forge Division)</t>
  </si>
  <si>
    <t>Hybrid QA 4.0 to HAL (Tejas LCA)</t>
  </si>
  <si>
    <t>Hybrid QA 4.0 to GIL</t>
  </si>
  <si>
    <t>Hybrid QA 4.0 to CSL</t>
  </si>
  <si>
    <t>Hybrid QA 4.0 to AWEIL</t>
  </si>
  <si>
    <t>20.08.2024</t>
  </si>
  <si>
    <t>07.06.2024
11.09.2024</t>
  </si>
  <si>
    <t>AI</t>
  </si>
  <si>
    <t>12.09.2024</t>
  </si>
  <si>
    <t>23.08.2021</t>
  </si>
  <si>
    <t>Hybrid QA 4.0 to HAL (Engine Division (Bangalore)</t>
  </si>
  <si>
    <t>Govt of Rajasthan
Horticulture Department</t>
  </si>
  <si>
    <t>Community based AI Solution for precise water requuirement of orchads /other crops and site specific nutrient management</t>
  </si>
  <si>
    <t>The General Manager (Quality)
GRSE.43/46, Garden Reach Road,
Kolkata - 700 024</t>
  </si>
  <si>
    <t>The General Manager (Qualilty)
Advanced Weapons and
Equipment India Limited(AWEIL) - India</t>
  </si>
  <si>
    <t>The General Manager(Quality)
Cochin Shipyard Ltd
Perumanoor PO Kerala,
India Cochin-682015</t>
  </si>
  <si>
    <t>The Gliders India Limited
Ordnance Equipment Factory Headquarter,
GT Road , Kanpur, Uttar Pradesh,
India – 208013</t>
  </si>
  <si>
    <t>Hindustan Aeronautics Limited
Bangalore Complex, Post Bag No. 1788
Bangalore – 560 017, INDIA.</t>
  </si>
  <si>
    <t>The General Manager,
Engine Division
Hindustan Aeronautics Limited
Bangalore Complex
Post box No. 9310
C V Raman Nagar
Bangalore-560093</t>
  </si>
  <si>
    <t>The GENERAL MANAGER(F&amp;F)
Foundry &amp; Forge Division
Hindustan Aeronautics Limited
Bangalore Complex PB No.1791, Vimanapura Post
Bangalore 560 017,India</t>
  </si>
  <si>
    <t>The General Manager(LCA Tejas)
Hindustan Aeronautics Limited (Bangalore Complex)
Post Box No – 3791
Bangalore – 560037,
India</t>
  </si>
  <si>
    <t>The General Manager ,
Munitions India Limited
-India</t>
  </si>
  <si>
    <t>The Deputy General Manager
Bharat Dynamics Limited
Bengaluru,Karnataka ,India</t>
  </si>
  <si>
    <t>The General Manager
Hindustan Shipyard Limited
Vishakhapatnam,
Andhra Pradesh, India</t>
  </si>
  <si>
    <t>The General Manager (Quality)
Mazagaon Dock Shipbuilders Limited,
Mumbai - 400 010.
India.</t>
  </si>
  <si>
    <t>The General Manager
Troop Comforts Limited
Kanpur ,India</t>
  </si>
  <si>
    <t>The General Manager
Yantra India Limited
Nagpur, India</t>
  </si>
  <si>
    <t>DATALAKE AND MLOPS</t>
  </si>
  <si>
    <t>CRIS INDIAN RAILWAYS</t>
  </si>
  <si>
    <t>27.09.2024</t>
  </si>
  <si>
    <t>27.08.2024</t>
  </si>
  <si>
    <t>INVITATION TO TENDER FOR APPLICATION DEVELOPMENT AND MAINTENANCE OF THE ELECTRONIC SELECTION, ACQUISITIONS (ESA) SYSTEM 2.0 FOR THE NLB</t>
  </si>
  <si>
    <t>National Library Board</t>
  </si>
  <si>
    <t>Bid Submitted</t>
  </si>
  <si>
    <t>Budgetary Quotation for INS Surat” for INICAI, Indian Navy</t>
  </si>
  <si>
    <t>Integrated Headquarters 
Ministry of Defence (Navy)</t>
  </si>
  <si>
    <t>26.08.2024</t>
  </si>
  <si>
    <t>Sandharbh for INICAI - SBC Vizag</t>
  </si>
  <si>
    <t>SBC Vizag</t>
  </si>
  <si>
    <t>Turnkey Solution (DC, DR, Visualization Centre, Software)</t>
  </si>
  <si>
    <t>LRDE</t>
  </si>
  <si>
    <t>ST(EoI)</t>
  </si>
  <si>
    <t>30.09.2024</t>
  </si>
  <si>
    <t>Selection of Solution Provider for Design, Development, Implementation, Operation &amp; Maintenance of a Management Information System (MIS) with Analytics for Mahila Samvad in the State of Bihar</t>
  </si>
  <si>
    <t>Bihar Rural Livelihoods Promotion Society (JEEVIKA)
Rural Development Department,
Government of Bihar</t>
  </si>
  <si>
    <t>10.09.2024</t>
  </si>
  <si>
    <t>RFP C2024-02 NYS APA Website Cold Fusion Conversion/Updates</t>
  </si>
  <si>
    <t>Adirondack Park Agency
New York</t>
  </si>
  <si>
    <t>06.09.2024</t>
  </si>
  <si>
    <t>Not- Participated</t>
  </si>
  <si>
    <t>Hybrid QA 4.0 to MIL(Common Proposal)</t>
  </si>
  <si>
    <t>Budgetary Quotation for Phase 1 of HYBRID QA 4.0 Solution</t>
  </si>
  <si>
    <r>
      <t xml:space="preserve">The General Manager ,
Ordnance Factory
Dehu Road, Pune
Munitions India Limited - India
</t>
    </r>
    <r>
      <rPr>
        <b/>
        <sz val="11"/>
        <color theme="1"/>
        <rFont val="Bookman Old Style"/>
        <family val="1"/>
      </rPr>
      <t>Unit of MIL</t>
    </r>
  </si>
  <si>
    <t>03.09.2024</t>
  </si>
  <si>
    <t>12.08.2024
04.09.2024</t>
  </si>
  <si>
    <t>BQ for Installation of face recognition based attendance system in M/s ONGC Nazira</t>
  </si>
  <si>
    <t>ONGC
Nazira</t>
  </si>
  <si>
    <t>04.09.2024</t>
  </si>
  <si>
    <t>Participated (Won, Lost, Pursued)</t>
  </si>
  <si>
    <t>Appointment of MSP for Providing &amp; Managing the Infrastructure on Cloud for IT Applications of MPPKVVCL, Indore through RCA, for period of 5
Years</t>
  </si>
  <si>
    <t>The Chief Engineer (Purchase)
O/o MD (West Zone),
M. P. Paschim Kshetra Vidyut Vitaran Co. Ltd,
G.P.H. Compound, Pologround,
Indore (MP)</t>
  </si>
  <si>
    <t>01.07.2024</t>
  </si>
  <si>
    <t>Design development integration
deployment implementation and maintenance of a webbased Hospital Information Management System HIMS on Turn key basis at Trauma Centre IMS BHU Varanasi</t>
  </si>
  <si>
    <t>Banaras Hindu University</t>
  </si>
  <si>
    <t>25.09.2024</t>
  </si>
  <si>
    <t>16.08.2024
04.09.2024
06.09.2024</t>
  </si>
  <si>
    <t>08.08.2024
05.09.2024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</si>
</sst>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"/>
  </numFmts>
  <fonts count="3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Rockwell"/>
      <family val="1"/>
    </font>
    <font>
      <b/>
      <u/>
      <sz val="14"/>
      <color rgb="FFC00000"/>
      <name val="Rockwell"/>
      <family val="1"/>
    </font>
    <font>
      <b/>
      <sz val="14"/>
      <color theme="1"/>
      <name val="Rockwell"/>
      <family val="1"/>
    </font>
    <font>
      <b/>
      <sz val="14"/>
      <name val="Rockwell"/>
      <family val="1"/>
    </font>
    <font>
      <b/>
      <sz val="14"/>
      <color rgb="FFFF0000"/>
      <name val="Rockwell"/>
      <family val="1"/>
    </font>
    <font>
      <sz val="12"/>
      <color theme="1"/>
      <name val="Bookman Old Style"/>
      <family val="1"/>
    </font>
    <font>
      <b/>
      <u/>
      <sz val="18"/>
      <color rgb="FFC00000"/>
      <name val="Bookman Old Style"/>
      <family val="1"/>
    </font>
    <font>
      <sz val="11"/>
      <color theme="1"/>
      <name val="Bookman Old Style"/>
      <family val="1"/>
    </font>
    <font>
      <b/>
      <sz val="14"/>
      <color rgb="FFFFFFFF"/>
      <name val="Bookman Old Style"/>
      <family val="1"/>
    </font>
    <font>
      <sz val="14"/>
      <color theme="1"/>
      <name val="Bookman Old Style"/>
      <family val="1"/>
    </font>
    <font>
      <b/>
      <u/>
      <sz val="20"/>
      <color rgb="FFC00000"/>
      <name val="Bookman Old Style"/>
      <family val="1"/>
    </font>
    <font>
      <b/>
      <u/>
      <sz val="14"/>
      <color rgb="FFFF0000"/>
      <name val="Bookman Old Style"/>
      <family val="1"/>
    </font>
    <font>
      <b/>
      <u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ahoma"/>
      <family val="2"/>
    </font>
    <font>
      <b/>
      <sz val="14"/>
      <color theme="3"/>
      <name val="Bookman Old Style"/>
      <family val="1"/>
    </font>
    <font>
      <sz val="12"/>
      <color theme="1"/>
      <name val="Rockwell"/>
      <family val="1"/>
    </font>
    <font>
      <sz val="12"/>
      <name val="Rockwell"/>
      <family val="1"/>
    </font>
    <font>
      <b/>
      <sz val="11"/>
      <color theme="1"/>
      <name val="Bookman Old Style"/>
      <family val="1"/>
    </font>
    <font>
      <b/>
      <sz val="11"/>
      <name val="Bookman Old Style"/>
      <family val="1"/>
    </font>
    <font>
      <b/>
      <sz val="11"/>
      <color rgb="FFFF0000"/>
      <name val="Bookman Old Style"/>
      <family val="1"/>
    </font>
    <font>
      <sz val="11"/>
      <name val="Bookman Old Style"/>
      <family val="1"/>
    </font>
    <font>
      <sz val="11"/>
      <color rgb="FFFF0000"/>
      <name val="Bookman Old Style"/>
      <family val="1"/>
    </font>
    <font>
      <b/>
      <u/>
      <sz val="11"/>
      <color rgb="FFFF0000"/>
      <name val="Bookman Old Style"/>
      <family val="1"/>
    </font>
    <font>
      <b/>
      <sz val="18"/>
      <color theme="1"/>
      <name val="Rockwell"/>
      <family val="1"/>
    </font>
    <font>
      <b/>
      <u/>
      <sz val="11"/>
      <color rgb="FFC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5" fillId="4" borderId="7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vertical="top"/>
    </xf>
    <xf numFmtId="0" fontId="6" fillId="0" borderId="12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/>
    </xf>
    <xf numFmtId="0" fontId="6" fillId="0" borderId="15" xfId="0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center" vertical="top" wrapText="1"/>
    </xf>
    <xf numFmtId="0" fontId="6" fillId="0" borderId="16" xfId="0" applyFont="1" applyBorder="1"/>
    <xf numFmtId="0" fontId="2" fillId="0" borderId="17" xfId="0" applyFont="1" applyBorder="1" applyAlignment="1">
      <alignment vertical="top"/>
    </xf>
    <xf numFmtId="0" fontId="2" fillId="4" borderId="9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5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2" xfId="0" applyNumberFormat="1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vertical="top"/>
    </xf>
    <xf numFmtId="0" fontId="15" fillId="6" borderId="25" xfId="0" applyFont="1" applyFill="1" applyBorder="1" applyAlignment="1">
      <alignment vertical="top"/>
    </xf>
    <xf numFmtId="0" fontId="15" fillId="6" borderId="26" xfId="0" applyFont="1" applyFill="1" applyBorder="1" applyAlignment="1">
      <alignment vertical="top"/>
    </xf>
    <xf numFmtId="0" fontId="15" fillId="6" borderId="26" xfId="0" applyFont="1" applyFill="1" applyBorder="1" applyAlignment="1">
      <alignment horizontal="center" vertical="top"/>
    </xf>
    <xf numFmtId="0" fontId="15" fillId="6" borderId="27" xfId="0" applyFont="1" applyFill="1" applyBorder="1" applyAlignment="1">
      <alignment horizontal="center" vertical="top"/>
    </xf>
    <xf numFmtId="0" fontId="7" fillId="0" borderId="0" xfId="0" applyFont="1"/>
    <xf numFmtId="0" fontId="7" fillId="0" borderId="28" xfId="0" applyFont="1" applyBorder="1" applyAlignment="1">
      <alignment horizontal="center" vertical="top"/>
    </xf>
    <xf numFmtId="0" fontId="7" fillId="0" borderId="29" xfId="0" applyFont="1" applyBorder="1" applyAlignment="1">
      <alignment horizontal="left" vertical="top"/>
    </xf>
    <xf numFmtId="0" fontId="7" fillId="0" borderId="29" xfId="0" applyFont="1" applyBorder="1" applyAlignment="1">
      <alignment horizontal="center" vertical="top"/>
    </xf>
    <xf numFmtId="0" fontId="7" fillId="0" borderId="30" xfId="0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horizontal="center" vertical="top"/>
    </xf>
    <xf numFmtId="0" fontId="7" fillId="0" borderId="8" xfId="0" applyFont="1" applyBorder="1" applyAlignment="1">
      <alignment horizontal="left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7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8" xfId="0" applyFont="1" applyFill="1" applyBorder="1" applyAlignment="1">
      <alignment horizontal="center" vertical="top"/>
    </xf>
    <xf numFmtId="2" fontId="7" fillId="0" borderId="9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horizontal="center" vertical="top"/>
    </xf>
    <xf numFmtId="0" fontId="7" fillId="0" borderId="16" xfId="0" applyFont="1" applyBorder="1" applyAlignment="1">
      <alignment horizontal="left" vertical="top"/>
    </xf>
    <xf numFmtId="0" fontId="7" fillId="0" borderId="16" xfId="0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17" xfId="0" applyFont="1" applyBorder="1" applyAlignment="1">
      <alignment horizontal="center" vertical="top"/>
    </xf>
    <xf numFmtId="0" fontId="7" fillId="0" borderId="31" xfId="0" applyFont="1" applyBorder="1" applyAlignment="1">
      <alignment vertical="top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top" wrapText="1"/>
    </xf>
    <xf numFmtId="0" fontId="19" fillId="0" borderId="0" xfId="0" applyFont="1"/>
    <xf numFmtId="0" fontId="11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right" vertical="top"/>
    </xf>
    <xf numFmtId="0" fontId="11" fillId="0" borderId="8" xfId="0" applyFont="1" applyFill="1" applyBorder="1" applyAlignment="1">
      <alignment horizontal="center" vertical="top"/>
    </xf>
    <xf numFmtId="0" fontId="20" fillId="0" borderId="8" xfId="0" applyFont="1" applyFill="1" applyBorder="1" applyAlignment="1">
      <alignment horizontal="left" vertical="top" wrapText="1"/>
    </xf>
    <xf numFmtId="0" fontId="21" fillId="0" borderId="8" xfId="0" quotePrefix="1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vertical="top" wrapText="1"/>
    </xf>
    <xf numFmtId="0" fontId="21" fillId="0" borderId="8" xfId="0" applyFont="1" applyBorder="1" applyAlignment="1">
      <alignment horizontal="center" vertical="center" wrapText="1"/>
    </xf>
    <xf numFmtId="2" fontId="21" fillId="0" borderId="8" xfId="0" applyNumberFormat="1" applyFont="1" applyBorder="1" applyAlignment="1">
      <alignment horizontal="right" vertical="center"/>
    </xf>
    <xf numFmtId="0" fontId="21" fillId="0" borderId="8" xfId="0" applyFont="1" applyBorder="1"/>
    <xf numFmtId="0" fontId="21" fillId="0" borderId="8" xfId="0" quotePrefix="1" applyFont="1" applyBorder="1" applyAlignment="1">
      <alignment horizontal="center" vertical="center" wrapText="1"/>
    </xf>
    <xf numFmtId="2" fontId="0" fillId="0" borderId="0" xfId="0" applyNumberFormat="1"/>
    <xf numFmtId="2" fontId="11" fillId="0" borderId="8" xfId="0" applyNumberFormat="1" applyFont="1" applyBorder="1" applyAlignment="1">
      <alignment horizontal="right" vertical="top"/>
    </xf>
    <xf numFmtId="0" fontId="0" fillId="0" borderId="8" xfId="0" applyBorder="1"/>
    <xf numFmtId="0" fontId="22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23" fillId="6" borderId="4" xfId="1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4" fontId="24" fillId="6" borderId="5" xfId="0" applyNumberFormat="1" applyFont="1" applyFill="1" applyBorder="1" applyAlignment="1">
      <alignment horizontal="center" vertical="center" wrapText="1"/>
    </xf>
    <xf numFmtId="14" fontId="23" fillId="6" borderId="5" xfId="0" applyNumberFormat="1" applyFont="1" applyFill="1" applyBorder="1" applyAlignment="1">
      <alignment horizontal="center" vertical="center" wrapText="1"/>
    </xf>
    <xf numFmtId="22" fontId="24" fillId="6" borderId="5" xfId="0" applyNumberFormat="1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8" xfId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right" vertical="top"/>
    </xf>
    <xf numFmtId="0" fontId="9" fillId="0" borderId="8" xfId="0" applyFont="1" applyFill="1" applyBorder="1" applyAlignment="1">
      <alignment horizontal="right" vertical="top" wrapText="1"/>
    </xf>
    <xf numFmtId="14" fontId="9" fillId="0" borderId="8" xfId="0" applyNumberFormat="1" applyFont="1" applyFill="1" applyBorder="1" applyAlignment="1">
      <alignment horizontal="center" vertical="center" wrapText="1"/>
    </xf>
    <xf numFmtId="22" fontId="26" fillId="0" borderId="8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 wrapText="1"/>
    </xf>
    <xf numFmtId="0" fontId="27" fillId="0" borderId="8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2" fontId="9" fillId="0" borderId="8" xfId="0" applyNumberFormat="1" applyFont="1" applyBorder="1" applyAlignment="1">
      <alignment horizontal="right" vertical="top"/>
    </xf>
    <xf numFmtId="4" fontId="9" fillId="7" borderId="8" xfId="0" applyNumberFormat="1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horizontal="center" vertical="top"/>
    </xf>
    <xf numFmtId="2" fontId="9" fillId="0" borderId="8" xfId="0" applyNumberFormat="1" applyFont="1" applyBorder="1" applyAlignment="1">
      <alignment horizontal="center" vertical="top"/>
    </xf>
    <xf numFmtId="0" fontId="9" fillId="0" borderId="8" xfId="0" applyFont="1" applyBorder="1"/>
    <xf numFmtId="0" fontId="9" fillId="0" borderId="8" xfId="0" applyFont="1" applyFill="1" applyBorder="1" applyAlignment="1">
      <alignment horizontal="center" vertical="top" wrapText="1"/>
    </xf>
    <xf numFmtId="2" fontId="9" fillId="0" borderId="8" xfId="0" applyNumberFormat="1" applyFont="1" applyFill="1" applyBorder="1" applyAlignment="1">
      <alignment horizontal="right" vertical="top"/>
    </xf>
    <xf numFmtId="17" fontId="9" fillId="0" borderId="8" xfId="0" applyNumberFormat="1" applyFont="1" applyBorder="1" applyAlignment="1">
      <alignment horizontal="center" vertical="top"/>
    </xf>
    <xf numFmtId="0" fontId="9" fillId="0" borderId="8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horizontal="right" vertical="top"/>
    </xf>
    <xf numFmtId="0" fontId="9" fillId="0" borderId="8" xfId="0" applyFont="1" applyFill="1" applyBorder="1" applyAlignment="1">
      <alignment horizontal="left" vertical="center"/>
    </xf>
    <xf numFmtId="0" fontId="9" fillId="0" borderId="0" xfId="0" applyFont="1" applyFill="1"/>
    <xf numFmtId="0" fontId="26" fillId="0" borderId="8" xfId="0" applyFont="1" applyBorder="1" applyAlignment="1">
      <alignment horizontal="left" vertical="center" wrapText="1"/>
    </xf>
    <xf numFmtId="1" fontId="9" fillId="0" borderId="8" xfId="0" applyNumberFormat="1" applyFont="1" applyBorder="1" applyAlignment="1">
      <alignment horizontal="right" vertical="top"/>
    </xf>
    <xf numFmtId="0" fontId="9" fillId="0" borderId="8" xfId="0" applyFont="1" applyBorder="1" applyAlignment="1">
      <alignment horizontal="right" vertical="top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horizontal="right" vertical="center"/>
    </xf>
    <xf numFmtId="2" fontId="9" fillId="0" borderId="8" xfId="0" applyNumberFormat="1" applyFont="1" applyBorder="1" applyAlignment="1">
      <alignment vertical="center"/>
    </xf>
    <xf numFmtId="0" fontId="9" fillId="0" borderId="8" xfId="0" applyFont="1" applyBorder="1" applyAlignment="1">
      <alignment wrapText="1"/>
    </xf>
    <xf numFmtId="0" fontId="9" fillId="0" borderId="8" xfId="0" applyFont="1" applyBorder="1" applyAlignment="1">
      <alignment horizontal="left" vertical="top" wrapText="1"/>
    </xf>
    <xf numFmtId="164" fontId="9" fillId="0" borderId="8" xfId="0" applyNumberFormat="1" applyFont="1" applyBorder="1" applyAlignment="1">
      <alignment horizontal="right" vertical="top"/>
    </xf>
    <xf numFmtId="2" fontId="9" fillId="0" borderId="8" xfId="0" applyNumberFormat="1" applyFont="1" applyBorder="1"/>
    <xf numFmtId="2" fontId="9" fillId="0" borderId="8" xfId="0" applyNumberFormat="1" applyFont="1" applyBorder="1" applyAlignment="1">
      <alignment vertical="top"/>
    </xf>
    <xf numFmtId="0" fontId="9" fillId="0" borderId="8" xfId="0" applyFont="1" applyBorder="1" applyAlignment="1">
      <alignment vertical="center" wrapText="1"/>
    </xf>
    <xf numFmtId="0" fontId="7" fillId="8" borderId="8" xfId="0" applyFont="1" applyFill="1" applyBorder="1" applyAlignment="1">
      <alignment horizontal="left" vertical="top"/>
    </xf>
    <xf numFmtId="0" fontId="7" fillId="8" borderId="29" xfId="0" applyFont="1" applyFill="1" applyBorder="1" applyAlignment="1">
      <alignment horizontal="left" vertical="top"/>
    </xf>
    <xf numFmtId="0" fontId="9" fillId="8" borderId="8" xfId="0" applyFont="1" applyFill="1" applyBorder="1" applyAlignment="1">
      <alignment horizontal="left" vertical="center" wrapText="1"/>
    </xf>
    <xf numFmtId="165" fontId="9" fillId="0" borderId="8" xfId="0" applyNumberFormat="1" applyFont="1" applyBorder="1" applyAlignment="1">
      <alignment horizontal="right" vertical="top"/>
    </xf>
    <xf numFmtId="0" fontId="23" fillId="0" borderId="0" xfId="0" applyFont="1"/>
    <xf numFmtId="1" fontId="7" fillId="0" borderId="8" xfId="0" applyNumberFormat="1" applyFont="1" applyBorder="1" applyAlignment="1">
      <alignment horizontal="center" vertical="top"/>
    </xf>
    <xf numFmtId="0" fontId="29" fillId="0" borderId="0" xfId="0" applyFont="1"/>
    <xf numFmtId="0" fontId="9" fillId="0" borderId="0" xfId="0" applyFont="1" applyAlignment="1">
      <alignment vertical="top" wrapText="1"/>
    </xf>
    <xf numFmtId="0" fontId="30" fillId="3" borderId="24" xfId="0" applyFont="1" applyFill="1" applyBorder="1" applyAlignment="1">
      <alignment horizontal="center" vertical="top" wrapText="1"/>
    </xf>
    <xf numFmtId="0" fontId="23" fillId="0" borderId="24" xfId="0" applyFont="1" applyBorder="1" applyAlignment="1">
      <alignment vertical="top" wrapText="1"/>
    </xf>
    <xf numFmtId="0" fontId="23" fillId="0" borderId="19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4" fontId="23" fillId="6" borderId="5" xfId="0" applyNumberFormat="1" applyFont="1" applyFill="1" applyBorder="1" applyAlignment="1">
      <alignment horizontal="center" vertical="center" wrapText="1"/>
    </xf>
    <xf numFmtId="22" fontId="23" fillId="6" borderId="5" xfId="0" applyNumberFormat="1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top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9" fillId="0" borderId="32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0" fontId="9" fillId="0" borderId="0" xfId="0" applyFont="1" applyAlignment="1">
      <alignment horizontal="left" vertical="center"/>
    </xf>
    <xf numFmtId="165" fontId="9" fillId="0" borderId="8" xfId="0" applyNumberFormat="1" applyFont="1" applyBorder="1"/>
    <xf numFmtId="0" fontId="9" fillId="0" borderId="8" xfId="0" applyFont="1" applyBorder="1" applyAlignment="1">
      <alignment horizontal="center" vertical="center" wrapText="1"/>
    </xf>
    <xf numFmtId="2" fontId="9" fillId="0" borderId="0" xfId="0" applyNumberFormat="1" applyFont="1"/>
    <xf numFmtId="0" fontId="6" fillId="0" borderId="10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3" fillId="3" borderId="3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top"/>
    </xf>
    <xf numFmtId="0" fontId="8" fillId="3" borderId="19" xfId="0" applyFont="1" applyFill="1" applyBorder="1" applyAlignment="1">
      <alignment horizontal="center" vertical="top"/>
    </xf>
    <xf numFmtId="0" fontId="8" fillId="3" borderId="20" xfId="0" applyFont="1" applyFill="1" applyBorder="1" applyAlignment="1">
      <alignment horizontal="center" vertical="top"/>
    </xf>
    <xf numFmtId="0" fontId="28" fillId="3" borderId="1" xfId="0" applyFont="1" applyFill="1" applyBorder="1" applyAlignment="1">
      <alignment horizontal="center" vertical="top"/>
    </xf>
    <xf numFmtId="0" fontId="28" fillId="3" borderId="2" xfId="0" applyFont="1" applyFill="1" applyBorder="1" applyAlignment="1">
      <alignment horizontal="center" vertical="top"/>
    </xf>
    <xf numFmtId="0" fontId="28" fillId="3" borderId="3" xfId="0" applyFont="1" applyFill="1" applyBorder="1" applyAlignment="1">
      <alignment horizontal="center" vertical="top"/>
    </xf>
    <xf numFmtId="0" fontId="30" fillId="3" borderId="1" xfId="0" applyFont="1" applyFill="1" applyBorder="1" applyAlignment="1">
      <alignment horizontal="left" vertical="center" wrapText="1"/>
    </xf>
    <xf numFmtId="0" fontId="30" fillId="3" borderId="2" xfId="0" applyFont="1" applyFill="1" applyBorder="1" applyAlignment="1">
      <alignment horizontal="left" vertical="center" wrapText="1"/>
    </xf>
    <xf numFmtId="0" fontId="30" fillId="3" borderId="3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3" borderId="2" xfId="0" applyFont="1" applyFill="1" applyBorder="1" applyAlignment="1">
      <alignment horizontal="center" vertical="top"/>
    </xf>
    <xf numFmtId="0" fontId="14" fillId="3" borderId="3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  <xf numFmtId="0" fontId="16" fillId="3" borderId="2" xfId="0" applyFont="1" applyFill="1" applyBorder="1" applyAlignment="1">
      <alignment horizontal="center" vertical="top"/>
    </xf>
    <xf numFmtId="0" fontId="16" fillId="3" borderId="3" xfId="0" applyFont="1" applyFill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zoomScale="85" zoomScaleNormal="85" workbookViewId="0">
      <selection activeCell="H16" sqref="H16"/>
    </sheetView>
  </sheetViews>
  <sheetFormatPr defaultRowHeight="15" x14ac:dyDescent="0.25"/>
  <cols>
    <col min="3" max="3" width="27.28515625" customWidth="1"/>
    <col min="4" max="4" width="30.42578125" customWidth="1"/>
    <col min="5" max="5" width="18" customWidth="1"/>
    <col min="6" max="6" width="29.28515625" customWidth="1"/>
    <col min="7" max="7" width="14" customWidth="1"/>
    <col min="8" max="8" width="22.85546875" bestFit="1" customWidth="1"/>
    <col min="9" max="9" width="28.42578125" customWidth="1"/>
    <col min="10" max="10" width="16.28515625" customWidth="1"/>
    <col min="11" max="11" width="22.5703125" customWidth="1"/>
  </cols>
  <sheetData>
    <row r="2" spans="2:11" s="1" customFormat="1" ht="28.5" customHeight="1" x14ac:dyDescent="0.25">
      <c r="B2" s="160" t="s">
        <v>18</v>
      </c>
      <c r="C2" s="161"/>
      <c r="D2" s="161"/>
      <c r="E2" s="161"/>
      <c r="F2" s="161"/>
      <c r="G2" s="161"/>
      <c r="H2" s="161"/>
      <c r="I2" s="161"/>
      <c r="J2" s="161"/>
      <c r="K2" s="162"/>
    </row>
    <row r="3" spans="2:11" s="1" customFormat="1" ht="19.5" thickBot="1" x14ac:dyDescent="0.35">
      <c r="H3" s="2" t="s">
        <v>0</v>
      </c>
      <c r="I3" s="2"/>
    </row>
    <row r="4" spans="2:11" s="1" customFormat="1" ht="56.25" x14ac:dyDescent="0.25">
      <c r="B4" s="56" t="s">
        <v>1</v>
      </c>
      <c r="C4" s="54" t="s">
        <v>2</v>
      </c>
      <c r="D4" s="54" t="s">
        <v>3</v>
      </c>
      <c r="E4" s="54" t="s">
        <v>4</v>
      </c>
      <c r="F4" s="54" t="s">
        <v>5</v>
      </c>
      <c r="G4" s="54" t="s">
        <v>6</v>
      </c>
      <c r="H4" s="54" t="s">
        <v>7</v>
      </c>
      <c r="I4" s="54" t="s">
        <v>8</v>
      </c>
      <c r="J4" s="54" t="s">
        <v>9</v>
      </c>
      <c r="K4" s="55" t="s">
        <v>10</v>
      </c>
    </row>
    <row r="5" spans="2:11" s="1" customFormat="1" ht="18.75" x14ac:dyDescent="0.25">
      <c r="B5" s="3" t="s">
        <v>11</v>
      </c>
      <c r="C5" s="4" t="s">
        <v>12</v>
      </c>
      <c r="D5" s="5"/>
      <c r="E5" s="5"/>
      <c r="F5" s="5"/>
      <c r="G5" s="5"/>
      <c r="H5" s="5"/>
      <c r="I5" s="5"/>
      <c r="J5" s="5"/>
      <c r="K5" s="6"/>
    </row>
    <row r="6" spans="2:11" s="58" customFormat="1" ht="110.25" x14ac:dyDescent="0.2">
      <c r="B6" s="72">
        <v>1</v>
      </c>
      <c r="C6" s="65" t="s">
        <v>150</v>
      </c>
      <c r="D6" s="66" t="s">
        <v>141</v>
      </c>
      <c r="E6" s="66" t="s">
        <v>142</v>
      </c>
      <c r="F6" s="66" t="s">
        <v>78</v>
      </c>
      <c r="G6" s="76">
        <v>0.59</v>
      </c>
      <c r="H6" s="76">
        <v>0.69</v>
      </c>
      <c r="I6" s="66" t="s">
        <v>88</v>
      </c>
      <c r="J6" s="67"/>
      <c r="K6" s="67"/>
    </row>
    <row r="7" spans="2:11" ht="78.75" x14ac:dyDescent="0.25">
      <c r="B7" s="66">
        <v>2</v>
      </c>
      <c r="C7" s="68" t="s">
        <v>149</v>
      </c>
      <c r="D7" s="69" t="s">
        <v>86</v>
      </c>
      <c r="E7" s="66" t="s">
        <v>148</v>
      </c>
      <c r="F7" s="66" t="s">
        <v>78</v>
      </c>
      <c r="G7" s="70">
        <v>6.1</v>
      </c>
      <c r="H7" s="70">
        <v>7.2</v>
      </c>
      <c r="I7" s="66" t="s">
        <v>88</v>
      </c>
      <c r="J7" s="71"/>
      <c r="K7" s="71"/>
    </row>
    <row r="8" spans="2:11" ht="78.75" x14ac:dyDescent="0.25">
      <c r="B8" s="66">
        <v>3</v>
      </c>
      <c r="C8" s="68" t="s">
        <v>201</v>
      </c>
      <c r="D8" s="69" t="s">
        <v>199</v>
      </c>
      <c r="E8" s="66" t="s">
        <v>200</v>
      </c>
      <c r="F8" s="66" t="s">
        <v>78</v>
      </c>
      <c r="G8" s="70">
        <v>2.95</v>
      </c>
      <c r="H8" s="70">
        <v>3.48</v>
      </c>
      <c r="I8" s="66" t="s">
        <v>88</v>
      </c>
      <c r="J8" s="75"/>
      <c r="K8" s="75"/>
    </row>
    <row r="10" spans="2:11" ht="23.25" x14ac:dyDescent="0.35">
      <c r="G10" s="132">
        <f>SUM(G6:G9)</f>
        <v>9.64</v>
      </c>
    </row>
    <row r="21" spans="2:11" s="1" customFormat="1" ht="18.75" x14ac:dyDescent="0.25">
      <c r="B21" s="154" t="s">
        <v>17</v>
      </c>
      <c r="C21" s="155"/>
      <c r="D21" s="155"/>
      <c r="E21" s="156"/>
      <c r="F21" s="57"/>
      <c r="G21" s="9"/>
      <c r="H21" s="10"/>
      <c r="I21" s="10"/>
      <c r="J21" s="11"/>
      <c r="K21" s="7"/>
    </row>
    <row r="22" spans="2:11" s="1" customFormat="1" ht="18.75" x14ac:dyDescent="0.25">
      <c r="B22" s="3" t="s">
        <v>13</v>
      </c>
      <c r="C22" s="4" t="s">
        <v>14</v>
      </c>
      <c r="D22" s="5"/>
      <c r="E22" s="5"/>
      <c r="F22" s="5"/>
      <c r="G22" s="5"/>
      <c r="H22" s="5"/>
      <c r="I22" s="5"/>
      <c r="J22" s="5"/>
      <c r="K22" s="16"/>
    </row>
    <row r="27" spans="2:11" s="1" customFormat="1" ht="18.75" x14ac:dyDescent="0.25">
      <c r="B27" s="154" t="s">
        <v>15</v>
      </c>
      <c r="C27" s="155"/>
      <c r="D27" s="155"/>
      <c r="E27" s="156"/>
      <c r="F27" s="8"/>
      <c r="G27" s="9"/>
      <c r="H27" s="10"/>
      <c r="I27" s="10"/>
      <c r="J27" s="11"/>
      <c r="K27" s="7"/>
    </row>
    <row r="28" spans="2:11" s="1" customFormat="1" ht="19.5" thickBot="1" x14ac:dyDescent="0.35">
      <c r="B28" s="157" t="s">
        <v>16</v>
      </c>
      <c r="C28" s="158"/>
      <c r="D28" s="158"/>
      <c r="E28" s="159"/>
      <c r="F28" s="12"/>
      <c r="G28" s="13"/>
      <c r="H28" s="14"/>
      <c r="I28" s="14"/>
      <c r="J28" s="14"/>
      <c r="K28" s="15"/>
    </row>
  </sheetData>
  <mergeCells count="4">
    <mergeCell ref="B27:E27"/>
    <mergeCell ref="B28:E28"/>
    <mergeCell ref="B21:E21"/>
    <mergeCell ref="B2:K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4"/>
  <sheetViews>
    <sheetView zoomScale="80" zoomScaleNormal="80" workbookViewId="0">
      <selection activeCell="C11" sqref="C11"/>
    </sheetView>
  </sheetViews>
  <sheetFormatPr defaultRowHeight="15" x14ac:dyDescent="0.25"/>
  <cols>
    <col min="3" max="3" width="59.42578125" customWidth="1"/>
    <col min="4" max="4" width="38.42578125" customWidth="1"/>
    <col min="5" max="5" width="23.140625" customWidth="1"/>
    <col min="6" max="6" width="18" customWidth="1"/>
    <col min="7" max="7" width="20.5703125" customWidth="1"/>
    <col min="8" max="8" width="19.140625" customWidth="1"/>
    <col min="9" max="9" width="25.7109375" customWidth="1"/>
    <col min="10" max="10" width="16.42578125" customWidth="1"/>
    <col min="11" max="11" width="22" customWidth="1"/>
    <col min="12" max="12" width="91" bestFit="1" customWidth="1"/>
    <col min="13" max="13" width="31.85546875" customWidth="1"/>
  </cols>
  <sheetData>
    <row r="1" spans="2:24" ht="15.75" thickBot="1" x14ac:dyDescent="0.3"/>
    <row r="2" spans="2:24" s="20" customFormat="1" ht="24" thickBot="1" x14ac:dyDescent="0.3">
      <c r="B2" s="17"/>
      <c r="C2" s="163" t="s">
        <v>30</v>
      </c>
      <c r="D2" s="164"/>
      <c r="E2" s="164"/>
      <c r="F2" s="164"/>
      <c r="G2" s="164"/>
      <c r="H2" s="164"/>
      <c r="I2" s="164"/>
      <c r="J2" s="164"/>
      <c r="K2" s="164"/>
      <c r="L2" s="164"/>
      <c r="M2" s="165"/>
      <c r="N2" s="18"/>
      <c r="O2" s="17"/>
      <c r="P2" s="17"/>
      <c r="Q2" s="17"/>
      <c r="R2" s="17"/>
      <c r="S2" s="18"/>
      <c r="T2" s="18"/>
      <c r="U2" s="18"/>
      <c r="V2" s="17"/>
      <c r="W2" s="19"/>
      <c r="X2" s="17"/>
    </row>
    <row r="3" spans="2:24" s="25" customFormat="1" ht="54" x14ac:dyDescent="0.25">
      <c r="B3" s="21" t="s">
        <v>19</v>
      </c>
      <c r="C3" s="22" t="s">
        <v>20</v>
      </c>
      <c r="D3" s="22" t="s">
        <v>21</v>
      </c>
      <c r="E3" s="22" t="s">
        <v>22</v>
      </c>
      <c r="F3" s="22" t="s">
        <v>23</v>
      </c>
      <c r="G3" s="23" t="s">
        <v>24</v>
      </c>
      <c r="H3" s="23" t="s">
        <v>25</v>
      </c>
      <c r="I3" s="22" t="s">
        <v>26</v>
      </c>
      <c r="J3" s="22" t="s">
        <v>27</v>
      </c>
      <c r="K3" s="22" t="s">
        <v>28</v>
      </c>
      <c r="L3" s="22" t="s">
        <v>8</v>
      </c>
      <c r="M3" s="24" t="s">
        <v>29</v>
      </c>
    </row>
    <row r="4" spans="2:24" ht="79.5" customHeight="1" x14ac:dyDescent="0.25">
      <c r="B4" s="60">
        <v>1</v>
      </c>
      <c r="C4" s="59" t="s">
        <v>145</v>
      </c>
      <c r="D4" s="59" t="s">
        <v>195</v>
      </c>
      <c r="E4" s="60" t="s">
        <v>74</v>
      </c>
      <c r="F4" s="61" t="s">
        <v>127</v>
      </c>
      <c r="G4" s="62">
        <v>9.98</v>
      </c>
      <c r="H4" s="62">
        <v>11.78</v>
      </c>
      <c r="I4" s="63" t="s">
        <v>143</v>
      </c>
      <c r="J4" s="63" t="s">
        <v>144</v>
      </c>
      <c r="K4" s="63" t="s">
        <v>88</v>
      </c>
      <c r="L4" s="64" t="s">
        <v>176</v>
      </c>
      <c r="M4" s="62">
        <v>11.78</v>
      </c>
    </row>
    <row r="5" spans="2:24" ht="117" customHeight="1" x14ac:dyDescent="0.25">
      <c r="B5" s="60">
        <v>2</v>
      </c>
      <c r="C5" s="59" t="s">
        <v>191</v>
      </c>
      <c r="D5" s="59" t="s">
        <v>192</v>
      </c>
      <c r="E5" s="60" t="s">
        <v>74</v>
      </c>
      <c r="F5" s="61" t="s">
        <v>127</v>
      </c>
      <c r="G5" s="62">
        <v>51.71</v>
      </c>
      <c r="H5" s="74">
        <f>G5*1.18</f>
        <v>61.017800000000001</v>
      </c>
      <c r="I5" s="63" t="s">
        <v>193</v>
      </c>
      <c r="J5" s="63" t="s">
        <v>144</v>
      </c>
      <c r="K5" s="75"/>
      <c r="L5" s="64" t="s">
        <v>194</v>
      </c>
      <c r="M5" s="62">
        <v>68.099999999999994</v>
      </c>
    </row>
    <row r="14" spans="2:24" x14ac:dyDescent="0.25">
      <c r="L14" s="73"/>
    </row>
  </sheetData>
  <mergeCells count="1">
    <mergeCell ref="C2:M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X109"/>
  <sheetViews>
    <sheetView tabSelected="1" zoomScale="85" zoomScaleNormal="85" workbookViewId="0">
      <selection activeCell="D109" sqref="D109"/>
    </sheetView>
  </sheetViews>
  <sheetFormatPr defaultRowHeight="15" x14ac:dyDescent="0.25"/>
  <cols>
    <col min="1" max="2" width="9.140625" style="20"/>
    <col min="3" max="3" width="39.7109375" style="20" customWidth="1"/>
    <col min="4" max="4" width="41.28515625" style="20" customWidth="1"/>
    <col min="5" max="5" width="19.7109375" style="20" bestFit="1" customWidth="1"/>
    <col min="6" max="6" width="21.140625" style="20" customWidth="1"/>
    <col min="7" max="8" width="24.140625" style="20" customWidth="1"/>
    <col min="9" max="9" width="25" style="20" customWidth="1"/>
    <col min="10" max="10" width="17.85546875" style="20" customWidth="1"/>
    <col min="11" max="11" width="25.5703125" style="20" customWidth="1"/>
    <col min="12" max="12" width="21.7109375" style="20" customWidth="1"/>
    <col min="13" max="13" width="16.28515625" style="20" customWidth="1"/>
    <col min="14" max="14" width="53" style="20" customWidth="1"/>
    <col min="15" max="15" width="26.7109375" style="20" customWidth="1"/>
    <col min="16" max="16" width="24" style="20" customWidth="1"/>
    <col min="17" max="17" width="30.7109375" style="20" customWidth="1"/>
    <col min="18" max="18" width="20.42578125" style="20" customWidth="1"/>
    <col min="19" max="19" width="38.28515625" style="20" customWidth="1"/>
    <col min="20" max="20" width="16.7109375" style="20" bestFit="1" customWidth="1"/>
    <col min="21" max="21" width="23.140625" style="20" customWidth="1"/>
    <col min="22" max="22" width="23" style="20" customWidth="1"/>
    <col min="23" max="23" width="22.42578125" style="20" customWidth="1"/>
    <col min="24" max="24" width="22.85546875" style="20" customWidth="1"/>
    <col min="25" max="16384" width="9.140625" style="20"/>
  </cols>
  <sheetData>
    <row r="1" spans="2:24" ht="15.75" thickBot="1" x14ac:dyDescent="0.3"/>
    <row r="2" spans="2:24" ht="27" customHeight="1" thickBot="1" x14ac:dyDescent="0.3">
      <c r="C2" s="166" t="s">
        <v>66</v>
      </c>
      <c r="D2" s="167"/>
      <c r="E2" s="167"/>
      <c r="F2" s="167"/>
      <c r="G2" s="167"/>
      <c r="H2" s="167"/>
      <c r="I2" s="167"/>
      <c r="J2" s="167"/>
      <c r="K2" s="167"/>
      <c r="L2" s="167"/>
      <c r="M2" s="168"/>
      <c r="X2" s="80"/>
    </row>
    <row r="3" spans="2:24" s="89" customFormat="1" ht="60" x14ac:dyDescent="0.25">
      <c r="B3" s="81" t="s">
        <v>31</v>
      </c>
      <c r="C3" s="82" t="s">
        <v>32</v>
      </c>
      <c r="D3" s="82" t="s">
        <v>21</v>
      </c>
      <c r="E3" s="82" t="s">
        <v>33</v>
      </c>
      <c r="F3" s="82" t="s">
        <v>22</v>
      </c>
      <c r="G3" s="82" t="s">
        <v>34</v>
      </c>
      <c r="H3" s="82" t="s">
        <v>350</v>
      </c>
      <c r="I3" s="82" t="s">
        <v>35</v>
      </c>
      <c r="J3" s="83" t="s">
        <v>36</v>
      </c>
      <c r="K3" s="82" t="s">
        <v>37</v>
      </c>
      <c r="L3" s="82" t="s">
        <v>38</v>
      </c>
      <c r="M3" s="84" t="s">
        <v>39</v>
      </c>
      <c r="N3" s="85" t="s">
        <v>40</v>
      </c>
      <c r="O3" s="86" t="s">
        <v>41</v>
      </c>
      <c r="P3" s="86" t="s">
        <v>42</v>
      </c>
      <c r="Q3" s="82" t="s">
        <v>43</v>
      </c>
      <c r="R3" s="82" t="s">
        <v>44</v>
      </c>
      <c r="S3" s="82" t="s">
        <v>45</v>
      </c>
      <c r="T3" s="82" t="s">
        <v>274</v>
      </c>
      <c r="U3" s="82" t="s">
        <v>46</v>
      </c>
      <c r="V3" s="82" t="s">
        <v>47</v>
      </c>
      <c r="W3" s="87" t="s">
        <v>48</v>
      </c>
      <c r="X3" s="88" t="s">
        <v>49</v>
      </c>
    </row>
    <row r="4" spans="2:24" s="100" customFormat="1" ht="30" x14ac:dyDescent="0.25">
      <c r="B4" s="90">
        <v>1</v>
      </c>
      <c r="C4" s="91" t="s">
        <v>308</v>
      </c>
      <c r="D4" s="91" t="s">
        <v>309</v>
      </c>
      <c r="E4" s="92"/>
      <c r="F4" s="106" t="s">
        <v>81</v>
      </c>
      <c r="G4" s="92" t="s">
        <v>87</v>
      </c>
      <c r="H4" s="92" t="s">
        <v>304</v>
      </c>
      <c r="J4" s="93" t="s">
        <v>88</v>
      </c>
      <c r="K4" s="94">
        <v>18.690000000000001</v>
      </c>
      <c r="L4" s="94">
        <v>18.690000000000001</v>
      </c>
      <c r="M4" s="95"/>
      <c r="N4" s="96" t="s">
        <v>110</v>
      </c>
      <c r="O4" s="97" t="s">
        <v>277</v>
      </c>
      <c r="P4" s="97" t="s">
        <v>277</v>
      </c>
      <c r="Q4" s="97" t="s">
        <v>277</v>
      </c>
      <c r="R4" s="97" t="s">
        <v>277</v>
      </c>
      <c r="S4" s="92" t="s">
        <v>118</v>
      </c>
      <c r="T4" s="92"/>
      <c r="U4" s="92" t="s">
        <v>91</v>
      </c>
      <c r="V4" s="92"/>
      <c r="W4" s="98" t="s">
        <v>287</v>
      </c>
      <c r="X4" s="99"/>
    </row>
    <row r="5" spans="2:24" ht="75" x14ac:dyDescent="0.25">
      <c r="B5" s="90">
        <v>2</v>
      </c>
      <c r="C5" s="78" t="s">
        <v>92</v>
      </c>
      <c r="D5" s="78" t="s">
        <v>86</v>
      </c>
      <c r="E5" s="98" t="s">
        <v>78</v>
      </c>
      <c r="F5" s="98" t="s">
        <v>78</v>
      </c>
      <c r="G5" s="97" t="s">
        <v>87</v>
      </c>
      <c r="H5" s="97" t="s">
        <v>304</v>
      </c>
      <c r="I5" s="97"/>
      <c r="J5" s="93" t="s">
        <v>88</v>
      </c>
      <c r="K5" s="101">
        <v>6.26</v>
      </c>
      <c r="L5" s="101">
        <v>6.1</v>
      </c>
      <c r="M5" s="97" t="s">
        <v>89</v>
      </c>
      <c r="N5" s="97" t="s">
        <v>90</v>
      </c>
      <c r="O5" s="97" t="s">
        <v>277</v>
      </c>
      <c r="P5" s="97" t="s">
        <v>277</v>
      </c>
      <c r="Q5" s="97" t="s">
        <v>277</v>
      </c>
      <c r="R5" s="97" t="s">
        <v>277</v>
      </c>
      <c r="S5" s="102" t="s">
        <v>285</v>
      </c>
      <c r="T5" s="97"/>
      <c r="U5" s="103" t="s">
        <v>91</v>
      </c>
      <c r="V5" s="104">
        <v>6.1</v>
      </c>
      <c r="W5" s="98" t="s">
        <v>279</v>
      </c>
      <c r="X5" s="77"/>
    </row>
    <row r="6" spans="2:24" ht="75" x14ac:dyDescent="0.25">
      <c r="B6" s="90">
        <v>3</v>
      </c>
      <c r="C6" s="78" t="s">
        <v>107</v>
      </c>
      <c r="D6" s="78" t="s">
        <v>108</v>
      </c>
      <c r="E6" s="98" t="s">
        <v>78</v>
      </c>
      <c r="F6" s="98" t="s">
        <v>78</v>
      </c>
      <c r="G6" s="97" t="s">
        <v>100</v>
      </c>
      <c r="H6" s="97" t="s">
        <v>351</v>
      </c>
      <c r="I6" s="98"/>
      <c r="J6" s="93" t="s">
        <v>88</v>
      </c>
      <c r="K6" s="101">
        <f>6472536/10000000</f>
        <v>0.64725359999999998</v>
      </c>
      <c r="L6" s="101">
        <f>K6</f>
        <v>0.64725359999999998</v>
      </c>
      <c r="M6" s="97" t="s">
        <v>110</v>
      </c>
      <c r="N6" s="97" t="s">
        <v>109</v>
      </c>
      <c r="O6" s="97" t="s">
        <v>277</v>
      </c>
      <c r="P6" s="97" t="s">
        <v>277</v>
      </c>
      <c r="Q6" s="97" t="s">
        <v>277</v>
      </c>
      <c r="R6" s="97" t="s">
        <v>277</v>
      </c>
      <c r="S6" s="102" t="s">
        <v>118</v>
      </c>
      <c r="T6" s="97"/>
      <c r="U6" s="103" t="s">
        <v>91</v>
      </c>
      <c r="V6" s="105"/>
      <c r="W6" s="97" t="s">
        <v>278</v>
      </c>
      <c r="X6" s="105"/>
    </row>
    <row r="7" spans="2:24" ht="75" x14ac:dyDescent="0.25">
      <c r="B7" s="90">
        <v>4</v>
      </c>
      <c r="C7" s="91" t="s">
        <v>119</v>
      </c>
      <c r="D7" s="91" t="s">
        <v>120</v>
      </c>
      <c r="E7" s="97" t="s">
        <v>127</v>
      </c>
      <c r="F7" s="97" t="s">
        <v>74</v>
      </c>
      <c r="G7" s="106" t="s">
        <v>130</v>
      </c>
      <c r="H7" s="97" t="s">
        <v>351</v>
      </c>
      <c r="I7" s="97"/>
      <c r="J7" s="107">
        <v>1</v>
      </c>
      <c r="K7" s="93">
        <v>200</v>
      </c>
      <c r="L7" s="93" t="s">
        <v>281</v>
      </c>
      <c r="M7" s="108">
        <v>45352</v>
      </c>
      <c r="N7" s="98" t="s">
        <v>282</v>
      </c>
      <c r="O7" s="97" t="s">
        <v>283</v>
      </c>
      <c r="P7" s="97" t="s">
        <v>283</v>
      </c>
      <c r="Q7" s="97" t="s">
        <v>247</v>
      </c>
      <c r="R7" s="98" t="s">
        <v>280</v>
      </c>
      <c r="S7" s="102" t="s">
        <v>118</v>
      </c>
      <c r="T7" s="97"/>
      <c r="U7" s="103" t="s">
        <v>91</v>
      </c>
      <c r="V7" s="105"/>
      <c r="W7" s="98" t="s">
        <v>284</v>
      </c>
      <c r="X7" s="105"/>
    </row>
    <row r="8" spans="2:24" ht="30" x14ac:dyDescent="0.25">
      <c r="B8" s="90">
        <v>5</v>
      </c>
      <c r="C8" s="78" t="s">
        <v>266</v>
      </c>
      <c r="D8" s="78" t="s">
        <v>270</v>
      </c>
      <c r="E8" s="98"/>
      <c r="F8" s="97" t="s">
        <v>78</v>
      </c>
      <c r="G8" s="97" t="s">
        <v>116</v>
      </c>
      <c r="H8" s="97" t="s">
        <v>351</v>
      </c>
      <c r="I8" s="97" t="s">
        <v>286</v>
      </c>
      <c r="J8" s="93" t="s">
        <v>88</v>
      </c>
      <c r="K8" s="101">
        <v>0.4</v>
      </c>
      <c r="L8" s="101">
        <v>0.4</v>
      </c>
      <c r="M8" s="109"/>
      <c r="N8" s="97" t="s">
        <v>117</v>
      </c>
      <c r="O8" s="97" t="s">
        <v>277</v>
      </c>
      <c r="P8" s="97" t="s">
        <v>277</v>
      </c>
      <c r="Q8" s="97" t="s">
        <v>277</v>
      </c>
      <c r="R8" s="97" t="s">
        <v>277</v>
      </c>
      <c r="S8" s="102" t="s">
        <v>118</v>
      </c>
      <c r="T8" s="97"/>
      <c r="U8" s="103" t="s">
        <v>91</v>
      </c>
      <c r="V8" s="97"/>
      <c r="W8" s="98" t="s">
        <v>287</v>
      </c>
      <c r="X8" s="77"/>
    </row>
    <row r="9" spans="2:24" ht="30" x14ac:dyDescent="0.25">
      <c r="B9" s="90">
        <v>6</v>
      </c>
      <c r="C9" s="91" t="s">
        <v>267</v>
      </c>
      <c r="D9" s="78" t="s">
        <v>325</v>
      </c>
      <c r="E9" s="98"/>
      <c r="F9" s="98" t="s">
        <v>81</v>
      </c>
      <c r="G9" s="97" t="s">
        <v>95</v>
      </c>
      <c r="H9" s="97" t="s">
        <v>304</v>
      </c>
      <c r="I9" s="97" t="s">
        <v>288</v>
      </c>
      <c r="J9" s="93" t="s">
        <v>88</v>
      </c>
      <c r="K9" s="93">
        <v>10.76</v>
      </c>
      <c r="L9" s="93">
        <v>10.76</v>
      </c>
      <c r="M9" s="109"/>
      <c r="N9" s="98" t="s">
        <v>402</v>
      </c>
      <c r="O9" s="97" t="s">
        <v>277</v>
      </c>
      <c r="P9" s="97" t="s">
        <v>277</v>
      </c>
      <c r="Q9" s="97" t="s">
        <v>277</v>
      </c>
      <c r="R9" s="97" t="s">
        <v>277</v>
      </c>
      <c r="S9" s="102" t="s">
        <v>118</v>
      </c>
      <c r="T9" s="97"/>
      <c r="U9" s="103" t="s">
        <v>91</v>
      </c>
      <c r="V9" s="97"/>
      <c r="W9" s="98" t="s">
        <v>287</v>
      </c>
      <c r="X9" s="77"/>
    </row>
    <row r="10" spans="2:24" ht="60" x14ac:dyDescent="0.25">
      <c r="B10" s="90">
        <v>7</v>
      </c>
      <c r="C10" s="91" t="s">
        <v>268</v>
      </c>
      <c r="D10" s="78" t="s">
        <v>310</v>
      </c>
      <c r="E10" s="98"/>
      <c r="F10" s="98" t="s">
        <v>81</v>
      </c>
      <c r="G10" s="97" t="s">
        <v>146</v>
      </c>
      <c r="H10" s="97"/>
      <c r="I10" s="97"/>
      <c r="J10" s="93" t="s">
        <v>88</v>
      </c>
      <c r="K10" s="93">
        <v>4</v>
      </c>
      <c r="L10" s="93">
        <v>4</v>
      </c>
      <c r="M10" s="109"/>
      <c r="N10" s="97" t="s">
        <v>147</v>
      </c>
      <c r="O10" s="97" t="s">
        <v>277</v>
      </c>
      <c r="P10" s="97" t="s">
        <v>277</v>
      </c>
      <c r="Q10" s="97" t="s">
        <v>277</v>
      </c>
      <c r="R10" s="97" t="s">
        <v>277</v>
      </c>
      <c r="S10" s="102" t="s">
        <v>118</v>
      </c>
      <c r="T10" s="97"/>
      <c r="U10" s="103" t="s">
        <v>91</v>
      </c>
      <c r="V10" s="97"/>
      <c r="W10" s="98" t="s">
        <v>287</v>
      </c>
      <c r="X10" s="77"/>
    </row>
    <row r="11" spans="2:24" s="112" customFormat="1" ht="30" x14ac:dyDescent="0.25">
      <c r="B11" s="90">
        <v>8</v>
      </c>
      <c r="C11" s="91" t="s">
        <v>311</v>
      </c>
      <c r="D11" s="91" t="s">
        <v>312</v>
      </c>
      <c r="E11" s="106"/>
      <c r="F11" s="98" t="s">
        <v>81</v>
      </c>
      <c r="G11" s="109"/>
      <c r="H11" s="109" t="s">
        <v>304</v>
      </c>
      <c r="I11" s="97" t="s">
        <v>288</v>
      </c>
      <c r="J11" s="93" t="s">
        <v>88</v>
      </c>
      <c r="K11" s="110">
        <v>4.03</v>
      </c>
      <c r="L11" s="110">
        <v>4.03</v>
      </c>
      <c r="M11" s="109"/>
      <c r="N11" s="109" t="s">
        <v>147</v>
      </c>
      <c r="O11" s="97" t="s">
        <v>277</v>
      </c>
      <c r="P11" s="97" t="s">
        <v>277</v>
      </c>
      <c r="Q11" s="97" t="s">
        <v>277</v>
      </c>
      <c r="R11" s="97" t="s">
        <v>277</v>
      </c>
      <c r="S11" s="102" t="s">
        <v>118</v>
      </c>
      <c r="T11" s="109"/>
      <c r="U11" s="103" t="s">
        <v>91</v>
      </c>
      <c r="V11" s="109"/>
      <c r="W11" s="98" t="s">
        <v>287</v>
      </c>
      <c r="X11" s="111"/>
    </row>
    <row r="12" spans="2:24" ht="75" x14ac:dyDescent="0.25">
      <c r="B12" s="90">
        <v>9</v>
      </c>
      <c r="C12" s="78" t="s">
        <v>271</v>
      </c>
      <c r="D12" s="91" t="s">
        <v>121</v>
      </c>
      <c r="E12" s="97" t="s">
        <v>127</v>
      </c>
      <c r="F12" s="106" t="s">
        <v>122</v>
      </c>
      <c r="G12" s="97"/>
      <c r="H12" s="109" t="s">
        <v>304</v>
      </c>
      <c r="I12" s="97" t="s">
        <v>111</v>
      </c>
      <c r="J12" s="93">
        <f>K12*0.01</f>
        <v>5</v>
      </c>
      <c r="K12" s="93">
        <v>500</v>
      </c>
      <c r="L12" s="93" t="s">
        <v>88</v>
      </c>
      <c r="M12" s="97" t="s">
        <v>106</v>
      </c>
      <c r="N12" s="109" t="s">
        <v>123</v>
      </c>
      <c r="O12" s="97" t="s">
        <v>277</v>
      </c>
      <c r="P12" s="97" t="s">
        <v>277</v>
      </c>
      <c r="Q12" s="97" t="s">
        <v>277</v>
      </c>
      <c r="R12" s="97" t="s">
        <v>277</v>
      </c>
      <c r="S12" s="97" t="s">
        <v>289</v>
      </c>
      <c r="T12" s="97">
        <v>1120004702</v>
      </c>
      <c r="U12" s="97" t="s">
        <v>290</v>
      </c>
      <c r="V12" s="105"/>
      <c r="W12" s="98" t="s">
        <v>291</v>
      </c>
      <c r="X12" s="105"/>
    </row>
    <row r="13" spans="2:24" ht="45" x14ac:dyDescent="0.25">
      <c r="B13" s="90">
        <v>10</v>
      </c>
      <c r="C13" s="78" t="s">
        <v>124</v>
      </c>
      <c r="D13" s="78" t="s">
        <v>269</v>
      </c>
      <c r="E13" s="97" t="s">
        <v>127</v>
      </c>
      <c r="F13" s="106" t="s">
        <v>74</v>
      </c>
      <c r="G13" s="97"/>
      <c r="H13" s="109" t="s">
        <v>304</v>
      </c>
      <c r="I13" s="97" t="s">
        <v>292</v>
      </c>
      <c r="J13" s="93">
        <f>K13*0.01</f>
        <v>10</v>
      </c>
      <c r="K13" s="93">
        <v>1000</v>
      </c>
      <c r="L13" s="93"/>
      <c r="M13" s="97" t="s">
        <v>125</v>
      </c>
      <c r="N13" s="109" t="s">
        <v>126</v>
      </c>
      <c r="O13" s="97" t="s">
        <v>277</v>
      </c>
      <c r="P13" s="97" t="s">
        <v>277</v>
      </c>
      <c r="Q13" s="97" t="s">
        <v>277</v>
      </c>
      <c r="R13" s="97" t="s">
        <v>277</v>
      </c>
      <c r="S13" s="97" t="s">
        <v>289</v>
      </c>
      <c r="T13" s="97">
        <v>1120004725</v>
      </c>
      <c r="U13" s="97" t="s">
        <v>290</v>
      </c>
      <c r="V13" s="105"/>
      <c r="W13" s="97"/>
      <c r="X13" s="105"/>
    </row>
    <row r="14" spans="2:24" ht="60" x14ac:dyDescent="0.25">
      <c r="B14" s="90">
        <v>11</v>
      </c>
      <c r="C14" s="113" t="s">
        <v>165</v>
      </c>
      <c r="D14" s="78" t="s">
        <v>272</v>
      </c>
      <c r="E14" s="97"/>
      <c r="F14" s="106" t="s">
        <v>81</v>
      </c>
      <c r="G14" s="97"/>
      <c r="H14" s="97" t="s">
        <v>304</v>
      </c>
      <c r="I14" s="97" t="s">
        <v>304</v>
      </c>
      <c r="J14" s="93" t="s">
        <v>88</v>
      </c>
      <c r="K14" s="93">
        <v>23.98</v>
      </c>
      <c r="L14" s="93">
        <v>23.98</v>
      </c>
      <c r="M14" s="97"/>
      <c r="N14" s="109" t="s">
        <v>159</v>
      </c>
      <c r="O14" s="97" t="s">
        <v>277</v>
      </c>
      <c r="P14" s="97" t="s">
        <v>277</v>
      </c>
      <c r="Q14" s="97" t="s">
        <v>277</v>
      </c>
      <c r="R14" s="97" t="s">
        <v>277</v>
      </c>
      <c r="S14" s="102" t="s">
        <v>118</v>
      </c>
      <c r="T14" s="97"/>
      <c r="U14" s="97" t="s">
        <v>91</v>
      </c>
      <c r="V14" s="105"/>
      <c r="W14" s="98" t="s">
        <v>287</v>
      </c>
      <c r="X14" s="105"/>
    </row>
    <row r="15" spans="2:24" ht="45" x14ac:dyDescent="0.25">
      <c r="B15" s="90">
        <v>12</v>
      </c>
      <c r="C15" s="78" t="s">
        <v>182</v>
      </c>
      <c r="D15" s="78" t="s">
        <v>183</v>
      </c>
      <c r="E15" s="97"/>
      <c r="F15" s="106" t="s">
        <v>81</v>
      </c>
      <c r="G15" s="97"/>
      <c r="H15" s="97" t="s">
        <v>351</v>
      </c>
      <c r="I15" s="97" t="s">
        <v>293</v>
      </c>
      <c r="J15" s="93" t="s">
        <v>88</v>
      </c>
      <c r="K15" s="93">
        <v>14.41</v>
      </c>
      <c r="L15" s="93">
        <v>14.41</v>
      </c>
      <c r="M15" s="97"/>
      <c r="N15" s="109" t="s">
        <v>177</v>
      </c>
      <c r="O15" s="97" t="s">
        <v>277</v>
      </c>
      <c r="P15" s="97" t="s">
        <v>277</v>
      </c>
      <c r="Q15" s="97" t="s">
        <v>277</v>
      </c>
      <c r="R15" s="97" t="s">
        <v>277</v>
      </c>
      <c r="S15" s="102" t="s">
        <v>118</v>
      </c>
      <c r="T15" s="97"/>
      <c r="U15" s="97" t="s">
        <v>91</v>
      </c>
      <c r="V15" s="105"/>
      <c r="W15" s="98" t="s">
        <v>287</v>
      </c>
      <c r="X15" s="105"/>
    </row>
    <row r="16" spans="2:24" ht="30" x14ac:dyDescent="0.25">
      <c r="B16" s="90">
        <v>13</v>
      </c>
      <c r="C16" s="78" t="s">
        <v>184</v>
      </c>
      <c r="D16" s="78" t="s">
        <v>185</v>
      </c>
      <c r="E16" s="97"/>
      <c r="F16" s="106" t="s">
        <v>81</v>
      </c>
      <c r="G16" s="97"/>
      <c r="H16" s="97" t="s">
        <v>351</v>
      </c>
      <c r="I16" s="97" t="s">
        <v>293</v>
      </c>
      <c r="J16" s="93" t="s">
        <v>88</v>
      </c>
      <c r="K16" s="93">
        <v>10.49</v>
      </c>
      <c r="L16" s="93">
        <v>10.49</v>
      </c>
      <c r="M16" s="97"/>
      <c r="N16" s="109" t="s">
        <v>177</v>
      </c>
      <c r="O16" s="97" t="s">
        <v>277</v>
      </c>
      <c r="P16" s="97" t="s">
        <v>277</v>
      </c>
      <c r="Q16" s="97" t="s">
        <v>277</v>
      </c>
      <c r="R16" s="97" t="s">
        <v>277</v>
      </c>
      <c r="S16" s="102" t="s">
        <v>118</v>
      </c>
      <c r="T16" s="97"/>
      <c r="U16" s="97" t="s">
        <v>91</v>
      </c>
      <c r="V16" s="105"/>
      <c r="W16" s="98" t="s">
        <v>287</v>
      </c>
      <c r="X16" s="105"/>
    </row>
    <row r="17" spans="2:24" ht="138" customHeight="1" x14ac:dyDescent="0.25">
      <c r="B17" s="90">
        <v>14</v>
      </c>
      <c r="C17" s="91" t="s">
        <v>273</v>
      </c>
      <c r="D17" s="91" t="s">
        <v>175</v>
      </c>
      <c r="E17" s="97" t="s">
        <v>127</v>
      </c>
      <c r="F17" s="106" t="s">
        <v>74</v>
      </c>
      <c r="G17" s="97" t="s">
        <v>129</v>
      </c>
      <c r="H17" s="97" t="s">
        <v>351</v>
      </c>
      <c r="I17" s="97" t="s">
        <v>294</v>
      </c>
      <c r="J17" s="93"/>
      <c r="K17" s="101">
        <v>25</v>
      </c>
      <c r="L17" s="93">
        <v>25.41</v>
      </c>
      <c r="M17" s="97" t="s">
        <v>131</v>
      </c>
      <c r="N17" s="97" t="s">
        <v>295</v>
      </c>
      <c r="O17" s="97" t="s">
        <v>277</v>
      </c>
      <c r="P17" s="97" t="s">
        <v>277</v>
      </c>
      <c r="Q17" s="97" t="s">
        <v>277</v>
      </c>
      <c r="R17" s="97" t="s">
        <v>277</v>
      </c>
      <c r="S17" s="97" t="s">
        <v>118</v>
      </c>
      <c r="T17" s="97"/>
      <c r="U17" s="97" t="s">
        <v>91</v>
      </c>
      <c r="V17" s="105"/>
      <c r="W17" s="97" t="s">
        <v>278</v>
      </c>
      <c r="X17" s="105"/>
    </row>
    <row r="18" spans="2:24" ht="45" x14ac:dyDescent="0.25">
      <c r="B18" s="90">
        <v>15</v>
      </c>
      <c r="C18" s="113" t="s">
        <v>137</v>
      </c>
      <c r="D18" s="77" t="s">
        <v>296</v>
      </c>
      <c r="E18" s="97" t="s">
        <v>78</v>
      </c>
      <c r="F18" s="98" t="s">
        <v>78</v>
      </c>
      <c r="G18" s="98" t="s">
        <v>297</v>
      </c>
      <c r="H18" s="98" t="s">
        <v>304</v>
      </c>
      <c r="I18" s="97" t="s">
        <v>304</v>
      </c>
      <c r="J18" s="93" t="s">
        <v>88</v>
      </c>
      <c r="K18" s="93">
        <v>900</v>
      </c>
      <c r="L18" s="93">
        <v>900</v>
      </c>
      <c r="M18" s="97"/>
      <c r="N18" s="97"/>
      <c r="O18" s="97" t="s">
        <v>277</v>
      </c>
      <c r="P18" s="97" t="s">
        <v>277</v>
      </c>
      <c r="Q18" s="97" t="s">
        <v>277</v>
      </c>
      <c r="R18" s="97" t="s">
        <v>277</v>
      </c>
      <c r="S18" s="97" t="s">
        <v>298</v>
      </c>
      <c r="T18" s="97"/>
      <c r="U18" s="97" t="s">
        <v>91</v>
      </c>
      <c r="V18" s="105"/>
      <c r="W18" s="98" t="s">
        <v>299</v>
      </c>
      <c r="X18" s="105"/>
    </row>
    <row r="19" spans="2:24" x14ac:dyDescent="0.25">
      <c r="B19" s="90">
        <v>16</v>
      </c>
      <c r="C19" s="91" t="s">
        <v>216</v>
      </c>
      <c r="D19" s="77" t="s">
        <v>217</v>
      </c>
      <c r="E19" s="97" t="s">
        <v>78</v>
      </c>
      <c r="F19" s="98" t="s">
        <v>78</v>
      </c>
      <c r="G19" s="97"/>
      <c r="H19" s="97" t="s">
        <v>351</v>
      </c>
      <c r="I19" s="98" t="s">
        <v>276</v>
      </c>
      <c r="J19" s="93">
        <f>K19*0.01</f>
        <v>7.0999999999999995E-3</v>
      </c>
      <c r="K19" s="93">
        <v>0.71</v>
      </c>
      <c r="L19" s="93"/>
      <c r="M19" s="97" t="s">
        <v>218</v>
      </c>
      <c r="N19" s="97" t="s">
        <v>109</v>
      </c>
      <c r="O19" s="97" t="s">
        <v>277</v>
      </c>
      <c r="P19" s="97" t="s">
        <v>277</v>
      </c>
      <c r="Q19" s="97" t="s">
        <v>277</v>
      </c>
      <c r="R19" s="97" t="s">
        <v>277</v>
      </c>
      <c r="S19" s="97" t="s">
        <v>289</v>
      </c>
      <c r="T19" s="97">
        <v>1120004737</v>
      </c>
      <c r="U19" s="97" t="s">
        <v>290</v>
      </c>
      <c r="V19" s="105"/>
      <c r="W19" s="98"/>
      <c r="X19" s="105"/>
    </row>
    <row r="20" spans="2:24" ht="30" x14ac:dyDescent="0.25">
      <c r="B20" s="90">
        <v>17</v>
      </c>
      <c r="C20" s="78" t="s">
        <v>151</v>
      </c>
      <c r="D20" s="77" t="s">
        <v>152</v>
      </c>
      <c r="E20" s="97" t="s">
        <v>127</v>
      </c>
      <c r="F20" s="106" t="s">
        <v>74</v>
      </c>
      <c r="G20" s="97"/>
      <c r="H20" s="97" t="s">
        <v>351</v>
      </c>
      <c r="I20" s="97"/>
      <c r="J20" s="101">
        <f>K20*0.1</f>
        <v>0.25</v>
      </c>
      <c r="K20" s="101">
        <v>2.5</v>
      </c>
      <c r="L20" s="93"/>
      <c r="M20" s="97" t="s">
        <v>153</v>
      </c>
      <c r="N20" s="98" t="s">
        <v>154</v>
      </c>
      <c r="O20" s="97" t="s">
        <v>277</v>
      </c>
      <c r="P20" s="97" t="s">
        <v>277</v>
      </c>
      <c r="Q20" s="97" t="s">
        <v>277</v>
      </c>
      <c r="R20" s="97" t="s">
        <v>277</v>
      </c>
      <c r="S20" s="97" t="s">
        <v>289</v>
      </c>
      <c r="T20" s="97">
        <v>1120004757</v>
      </c>
      <c r="U20" s="97" t="s">
        <v>290</v>
      </c>
      <c r="V20" s="105"/>
      <c r="W20" s="97"/>
      <c r="X20" s="105"/>
    </row>
    <row r="21" spans="2:24" ht="30" x14ac:dyDescent="0.25">
      <c r="B21" s="90">
        <v>18</v>
      </c>
      <c r="C21" s="78" t="s">
        <v>155</v>
      </c>
      <c r="D21" s="77" t="s">
        <v>156</v>
      </c>
      <c r="E21" s="97" t="s">
        <v>127</v>
      </c>
      <c r="F21" s="106" t="s">
        <v>74</v>
      </c>
      <c r="G21" s="97"/>
      <c r="H21" s="97" t="s">
        <v>351</v>
      </c>
      <c r="I21" s="97"/>
      <c r="J21" s="101">
        <f>K21*0.01</f>
        <v>0.3</v>
      </c>
      <c r="K21" s="101">
        <v>30</v>
      </c>
      <c r="L21" s="93"/>
      <c r="M21" s="97" t="s">
        <v>153</v>
      </c>
      <c r="N21" s="97" t="s">
        <v>157</v>
      </c>
      <c r="O21" s="97" t="s">
        <v>277</v>
      </c>
      <c r="P21" s="97" t="s">
        <v>277</v>
      </c>
      <c r="Q21" s="97" t="s">
        <v>277</v>
      </c>
      <c r="R21" s="97" t="s">
        <v>277</v>
      </c>
      <c r="S21" s="97" t="s">
        <v>289</v>
      </c>
      <c r="T21" s="97">
        <v>1120004756</v>
      </c>
      <c r="U21" s="97"/>
      <c r="V21" s="105"/>
      <c r="W21" s="97"/>
      <c r="X21" s="105"/>
    </row>
    <row r="22" spans="2:24" ht="30" x14ac:dyDescent="0.25">
      <c r="B22" s="90">
        <v>19</v>
      </c>
      <c r="C22" s="78" t="s">
        <v>219</v>
      </c>
      <c r="D22" s="77" t="s">
        <v>220</v>
      </c>
      <c r="E22" s="97" t="s">
        <v>127</v>
      </c>
      <c r="F22" s="106" t="s">
        <v>74</v>
      </c>
      <c r="G22" s="97"/>
      <c r="H22" s="97" t="s">
        <v>351</v>
      </c>
      <c r="I22" s="97"/>
      <c r="J22" s="93">
        <f>K22*0.01</f>
        <v>1.5</v>
      </c>
      <c r="K22" s="114">
        <v>150</v>
      </c>
      <c r="L22" s="93"/>
      <c r="M22" s="97" t="s">
        <v>153</v>
      </c>
      <c r="N22" s="97" t="s">
        <v>187</v>
      </c>
      <c r="O22" s="97" t="s">
        <v>277</v>
      </c>
      <c r="P22" s="97" t="s">
        <v>277</v>
      </c>
      <c r="Q22" s="97" t="s">
        <v>277</v>
      </c>
      <c r="R22" s="97" t="s">
        <v>277</v>
      </c>
      <c r="S22" s="97" t="s">
        <v>289</v>
      </c>
      <c r="T22" s="97">
        <v>1120004755</v>
      </c>
      <c r="U22" s="97"/>
      <c r="V22" s="105"/>
      <c r="W22" s="97"/>
      <c r="X22" s="105"/>
    </row>
    <row r="23" spans="2:24" ht="90" x14ac:dyDescent="0.25">
      <c r="B23" s="90">
        <v>20</v>
      </c>
      <c r="C23" s="78" t="s">
        <v>162</v>
      </c>
      <c r="D23" s="78" t="s">
        <v>163</v>
      </c>
      <c r="E23" s="97" t="s">
        <v>127</v>
      </c>
      <c r="F23" s="106" t="s">
        <v>74</v>
      </c>
      <c r="G23" s="97" t="s">
        <v>301</v>
      </c>
      <c r="H23" s="97" t="s">
        <v>351</v>
      </c>
      <c r="I23" s="97" t="s">
        <v>300</v>
      </c>
      <c r="J23" s="93">
        <f>K23*0.01</f>
        <v>3</v>
      </c>
      <c r="K23" s="93">
        <v>300</v>
      </c>
      <c r="L23" s="93"/>
      <c r="M23" s="97" t="s">
        <v>164</v>
      </c>
      <c r="N23" s="98" t="s">
        <v>423</v>
      </c>
      <c r="O23" s="97"/>
      <c r="P23" s="97"/>
      <c r="Q23" s="97"/>
      <c r="R23" s="97"/>
      <c r="S23" s="97" t="s">
        <v>289</v>
      </c>
      <c r="T23" s="97">
        <v>1120004780</v>
      </c>
      <c r="U23" s="97" t="s">
        <v>91</v>
      </c>
      <c r="V23" s="105"/>
      <c r="W23" s="97"/>
      <c r="X23" s="105"/>
    </row>
    <row r="24" spans="2:24" ht="135" x14ac:dyDescent="0.25">
      <c r="B24" s="90">
        <v>21</v>
      </c>
      <c r="C24" s="78" t="s">
        <v>166</v>
      </c>
      <c r="D24" s="78" t="s">
        <v>167</v>
      </c>
      <c r="E24" s="97" t="s">
        <v>127</v>
      </c>
      <c r="F24" s="106" t="s">
        <v>74</v>
      </c>
      <c r="G24" s="97"/>
      <c r="H24" s="97" t="s">
        <v>351</v>
      </c>
      <c r="I24" s="97" t="s">
        <v>292</v>
      </c>
      <c r="J24" s="93"/>
      <c r="K24" s="101">
        <v>20</v>
      </c>
      <c r="L24" s="93"/>
      <c r="M24" s="97" t="s">
        <v>168</v>
      </c>
      <c r="N24" s="97" t="s">
        <v>169</v>
      </c>
      <c r="O24" s="97"/>
      <c r="P24" s="97"/>
      <c r="Q24" s="97"/>
      <c r="R24" s="97"/>
      <c r="S24" s="97" t="s">
        <v>289</v>
      </c>
      <c r="T24" s="97"/>
      <c r="U24" s="97"/>
      <c r="V24" s="105"/>
      <c r="W24" s="97"/>
      <c r="X24" s="105"/>
    </row>
    <row r="25" spans="2:24" ht="60" x14ac:dyDescent="0.25">
      <c r="B25" s="90">
        <v>22</v>
      </c>
      <c r="C25" s="78" t="s">
        <v>336</v>
      </c>
      <c r="D25" s="78" t="s">
        <v>173</v>
      </c>
      <c r="E25" s="97"/>
      <c r="F25" s="97" t="s">
        <v>81</v>
      </c>
      <c r="G25" s="97" t="s">
        <v>174</v>
      </c>
      <c r="H25" s="97" t="s">
        <v>304</v>
      </c>
      <c r="I25" s="97" t="s">
        <v>304</v>
      </c>
      <c r="J25" s="93" t="s">
        <v>88</v>
      </c>
      <c r="K25" s="93">
        <v>7.88</v>
      </c>
      <c r="L25" s="93">
        <v>7.88</v>
      </c>
      <c r="M25" s="97"/>
      <c r="N25" s="97" t="s">
        <v>321</v>
      </c>
      <c r="O25" s="97" t="s">
        <v>277</v>
      </c>
      <c r="P25" s="97" t="s">
        <v>277</v>
      </c>
      <c r="Q25" s="97" t="s">
        <v>277</v>
      </c>
      <c r="R25" s="97" t="s">
        <v>277</v>
      </c>
      <c r="S25" s="102" t="s">
        <v>118</v>
      </c>
      <c r="T25" s="97"/>
      <c r="U25" s="97" t="s">
        <v>91</v>
      </c>
      <c r="V25" s="105"/>
      <c r="W25" s="97" t="s">
        <v>287</v>
      </c>
      <c r="X25" s="105"/>
    </row>
    <row r="26" spans="2:24" ht="60" x14ac:dyDescent="0.25">
      <c r="B26" s="90">
        <v>23</v>
      </c>
      <c r="C26" s="78" t="s">
        <v>328</v>
      </c>
      <c r="D26" s="78" t="s">
        <v>173</v>
      </c>
      <c r="E26" s="97"/>
      <c r="F26" s="97" t="s">
        <v>81</v>
      </c>
      <c r="G26" s="97" t="s">
        <v>174</v>
      </c>
      <c r="H26" s="97" t="s">
        <v>304</v>
      </c>
      <c r="I26" s="97" t="s">
        <v>304</v>
      </c>
      <c r="J26" s="93" t="s">
        <v>88</v>
      </c>
      <c r="K26" s="93">
        <v>37.340000000000003</v>
      </c>
      <c r="L26" s="93">
        <v>37.340000000000003</v>
      </c>
      <c r="M26" s="97"/>
      <c r="N26" s="97" t="s">
        <v>321</v>
      </c>
      <c r="O26" s="97" t="s">
        <v>277</v>
      </c>
      <c r="P26" s="97" t="s">
        <v>277</v>
      </c>
      <c r="Q26" s="97" t="s">
        <v>277</v>
      </c>
      <c r="R26" s="97" t="s">
        <v>277</v>
      </c>
      <c r="S26" s="102" t="s">
        <v>118</v>
      </c>
      <c r="T26" s="97"/>
      <c r="U26" s="97" t="s">
        <v>91</v>
      </c>
      <c r="V26" s="105"/>
      <c r="W26" s="97" t="s">
        <v>287</v>
      </c>
      <c r="X26" s="105"/>
    </row>
    <row r="27" spans="2:24" ht="60" x14ac:dyDescent="0.25">
      <c r="B27" s="90">
        <v>24</v>
      </c>
      <c r="C27" s="78" t="s">
        <v>329</v>
      </c>
      <c r="D27" s="78" t="s">
        <v>173</v>
      </c>
      <c r="E27" s="97"/>
      <c r="F27" s="97" t="s">
        <v>81</v>
      </c>
      <c r="G27" s="97" t="s">
        <v>174</v>
      </c>
      <c r="H27" s="97" t="s">
        <v>304</v>
      </c>
      <c r="I27" s="97" t="s">
        <v>304</v>
      </c>
      <c r="J27" s="93" t="s">
        <v>88</v>
      </c>
      <c r="K27" s="93">
        <v>31.36</v>
      </c>
      <c r="L27" s="93">
        <v>31.36</v>
      </c>
      <c r="M27" s="97"/>
      <c r="N27" s="97" t="s">
        <v>321</v>
      </c>
      <c r="O27" s="97" t="s">
        <v>277</v>
      </c>
      <c r="P27" s="97" t="s">
        <v>277</v>
      </c>
      <c r="Q27" s="97" t="s">
        <v>277</v>
      </c>
      <c r="R27" s="97" t="s">
        <v>277</v>
      </c>
      <c r="S27" s="102" t="s">
        <v>118</v>
      </c>
      <c r="T27" s="97"/>
      <c r="U27" s="97" t="s">
        <v>91</v>
      </c>
      <c r="V27" s="105"/>
      <c r="W27" s="97" t="s">
        <v>287</v>
      </c>
      <c r="X27" s="105"/>
    </row>
    <row r="28" spans="2:24" ht="60" x14ac:dyDescent="0.25">
      <c r="B28" s="90">
        <v>25</v>
      </c>
      <c r="C28" s="78" t="s">
        <v>330</v>
      </c>
      <c r="D28" s="78" t="s">
        <v>173</v>
      </c>
      <c r="E28" s="97"/>
      <c r="F28" s="97" t="s">
        <v>81</v>
      </c>
      <c r="G28" s="97" t="s">
        <v>174</v>
      </c>
      <c r="H28" s="97" t="s">
        <v>304</v>
      </c>
      <c r="I28" s="97" t="s">
        <v>304</v>
      </c>
      <c r="J28" s="93" t="s">
        <v>88</v>
      </c>
      <c r="K28" s="101">
        <v>4.7</v>
      </c>
      <c r="L28" s="101">
        <v>4.7</v>
      </c>
      <c r="M28" s="97"/>
      <c r="N28" s="97" t="s">
        <v>321</v>
      </c>
      <c r="O28" s="97" t="s">
        <v>277</v>
      </c>
      <c r="P28" s="97" t="s">
        <v>277</v>
      </c>
      <c r="Q28" s="97" t="s">
        <v>277</v>
      </c>
      <c r="R28" s="97" t="s">
        <v>277</v>
      </c>
      <c r="S28" s="102" t="s">
        <v>118</v>
      </c>
      <c r="T28" s="97"/>
      <c r="U28" s="97" t="s">
        <v>91</v>
      </c>
      <c r="V28" s="105"/>
      <c r="W28" s="97" t="s">
        <v>287</v>
      </c>
      <c r="X28" s="105"/>
    </row>
    <row r="29" spans="2:24" ht="60" x14ac:dyDescent="0.25">
      <c r="B29" s="90">
        <v>26</v>
      </c>
      <c r="C29" s="78" t="s">
        <v>331</v>
      </c>
      <c r="D29" s="78" t="s">
        <v>173</v>
      </c>
      <c r="E29" s="97"/>
      <c r="F29" s="97" t="s">
        <v>81</v>
      </c>
      <c r="G29" s="97" t="s">
        <v>174</v>
      </c>
      <c r="H29" s="97" t="s">
        <v>304</v>
      </c>
      <c r="I29" s="97" t="s">
        <v>304</v>
      </c>
      <c r="J29" s="93" t="s">
        <v>88</v>
      </c>
      <c r="K29" s="101">
        <v>4.7</v>
      </c>
      <c r="L29" s="101">
        <v>4.7</v>
      </c>
      <c r="M29" s="97"/>
      <c r="N29" s="97" t="s">
        <v>321</v>
      </c>
      <c r="O29" s="97" t="s">
        <v>277</v>
      </c>
      <c r="P29" s="97" t="s">
        <v>277</v>
      </c>
      <c r="Q29" s="97" t="s">
        <v>277</v>
      </c>
      <c r="R29" s="97" t="s">
        <v>277</v>
      </c>
      <c r="S29" s="102" t="s">
        <v>118</v>
      </c>
      <c r="T29" s="97"/>
      <c r="U29" s="97" t="s">
        <v>91</v>
      </c>
      <c r="V29" s="105"/>
      <c r="W29" s="97" t="s">
        <v>287</v>
      </c>
      <c r="X29" s="105"/>
    </row>
    <row r="30" spans="2:24" ht="60" x14ac:dyDescent="0.25">
      <c r="B30" s="90">
        <v>27</v>
      </c>
      <c r="C30" s="78" t="s">
        <v>335</v>
      </c>
      <c r="D30" s="78" t="s">
        <v>173</v>
      </c>
      <c r="E30" s="97"/>
      <c r="F30" s="97" t="s">
        <v>81</v>
      </c>
      <c r="G30" s="97" t="s">
        <v>174</v>
      </c>
      <c r="H30" s="97" t="s">
        <v>304</v>
      </c>
      <c r="I30" s="97" t="s">
        <v>304</v>
      </c>
      <c r="J30" s="93" t="s">
        <v>88</v>
      </c>
      <c r="K30" s="101">
        <f>2.6+2.6</f>
        <v>5.2</v>
      </c>
      <c r="L30" s="101">
        <f>2.6+2.6</f>
        <v>5.2</v>
      </c>
      <c r="M30" s="97"/>
      <c r="N30" s="97" t="s">
        <v>321</v>
      </c>
      <c r="O30" s="97" t="s">
        <v>277</v>
      </c>
      <c r="P30" s="97" t="s">
        <v>277</v>
      </c>
      <c r="Q30" s="97" t="s">
        <v>277</v>
      </c>
      <c r="R30" s="97" t="s">
        <v>277</v>
      </c>
      <c r="S30" s="102" t="s">
        <v>118</v>
      </c>
      <c r="T30" s="97"/>
      <c r="U30" s="97" t="s">
        <v>91</v>
      </c>
      <c r="V30" s="105"/>
      <c r="W30" s="97" t="s">
        <v>287</v>
      </c>
      <c r="X30" s="105"/>
    </row>
    <row r="31" spans="2:24" ht="60" x14ac:dyDescent="0.25">
      <c r="B31" s="90">
        <v>28</v>
      </c>
      <c r="C31" s="78" t="s">
        <v>332</v>
      </c>
      <c r="D31" s="78" t="s">
        <v>173</v>
      </c>
      <c r="E31" s="97"/>
      <c r="F31" s="97" t="s">
        <v>81</v>
      </c>
      <c r="G31" s="97" t="s">
        <v>174</v>
      </c>
      <c r="H31" s="97" t="s">
        <v>304</v>
      </c>
      <c r="I31" s="97" t="s">
        <v>304</v>
      </c>
      <c r="J31" s="93" t="s">
        <v>88</v>
      </c>
      <c r="K31" s="93">
        <v>36.76</v>
      </c>
      <c r="L31" s="93">
        <v>36.76</v>
      </c>
      <c r="M31" s="97"/>
      <c r="N31" s="97" t="s">
        <v>321</v>
      </c>
      <c r="O31" s="97" t="s">
        <v>277</v>
      </c>
      <c r="P31" s="97" t="s">
        <v>277</v>
      </c>
      <c r="Q31" s="97" t="s">
        <v>277</v>
      </c>
      <c r="R31" s="97" t="s">
        <v>277</v>
      </c>
      <c r="S31" s="102" t="s">
        <v>118</v>
      </c>
      <c r="T31" s="97"/>
      <c r="U31" s="97" t="s">
        <v>91</v>
      </c>
      <c r="V31" s="105"/>
      <c r="W31" s="97" t="s">
        <v>287</v>
      </c>
      <c r="X31" s="105"/>
    </row>
    <row r="32" spans="2:24" ht="60" x14ac:dyDescent="0.25">
      <c r="B32" s="90">
        <v>29</v>
      </c>
      <c r="C32" s="78" t="s">
        <v>333</v>
      </c>
      <c r="D32" s="78" t="s">
        <v>173</v>
      </c>
      <c r="E32" s="97"/>
      <c r="F32" s="97" t="s">
        <v>81</v>
      </c>
      <c r="G32" s="97" t="s">
        <v>174</v>
      </c>
      <c r="H32" s="97" t="s">
        <v>304</v>
      </c>
      <c r="I32" s="97" t="s">
        <v>304</v>
      </c>
      <c r="J32" s="93" t="s">
        <v>88</v>
      </c>
      <c r="K32" s="93">
        <v>31.49</v>
      </c>
      <c r="L32" s="93">
        <v>31.49</v>
      </c>
      <c r="M32" s="97"/>
      <c r="N32" s="97" t="s">
        <v>321</v>
      </c>
      <c r="O32" s="97" t="s">
        <v>277</v>
      </c>
      <c r="P32" s="97" t="s">
        <v>277</v>
      </c>
      <c r="Q32" s="97" t="s">
        <v>277</v>
      </c>
      <c r="R32" s="97" t="s">
        <v>277</v>
      </c>
      <c r="S32" s="102" t="s">
        <v>118</v>
      </c>
      <c r="T32" s="97"/>
      <c r="U32" s="97" t="s">
        <v>91</v>
      </c>
      <c r="V32" s="105"/>
      <c r="W32" s="97" t="s">
        <v>287</v>
      </c>
      <c r="X32" s="105"/>
    </row>
    <row r="33" spans="2:24" ht="60" x14ac:dyDescent="0.25">
      <c r="B33" s="90">
        <v>30</v>
      </c>
      <c r="C33" s="78" t="s">
        <v>334</v>
      </c>
      <c r="D33" s="78" t="s">
        <v>173</v>
      </c>
      <c r="E33" s="97"/>
      <c r="F33" s="97" t="s">
        <v>81</v>
      </c>
      <c r="G33" s="97" t="s">
        <v>174</v>
      </c>
      <c r="H33" s="97" t="s">
        <v>304</v>
      </c>
      <c r="I33" s="97" t="s">
        <v>304</v>
      </c>
      <c r="J33" s="93" t="s">
        <v>88</v>
      </c>
      <c r="K33" s="93">
        <v>31.49</v>
      </c>
      <c r="L33" s="93">
        <v>31.49</v>
      </c>
      <c r="M33" s="97"/>
      <c r="N33" s="97" t="s">
        <v>321</v>
      </c>
      <c r="O33" s="97" t="s">
        <v>277</v>
      </c>
      <c r="P33" s="97" t="s">
        <v>277</v>
      </c>
      <c r="Q33" s="97" t="s">
        <v>277</v>
      </c>
      <c r="R33" s="97" t="s">
        <v>277</v>
      </c>
      <c r="S33" s="102" t="s">
        <v>118</v>
      </c>
      <c r="T33" s="97"/>
      <c r="U33" s="97" t="s">
        <v>91</v>
      </c>
      <c r="V33" s="105"/>
      <c r="W33" s="97" t="s">
        <v>287</v>
      </c>
      <c r="X33" s="105"/>
    </row>
    <row r="34" spans="2:24" ht="30" x14ac:dyDescent="0.25">
      <c r="B34" s="90">
        <v>31</v>
      </c>
      <c r="C34" s="77" t="s">
        <v>178</v>
      </c>
      <c r="D34" s="78" t="s">
        <v>181</v>
      </c>
      <c r="E34" s="97"/>
      <c r="F34" s="97" t="s">
        <v>81</v>
      </c>
      <c r="G34" s="97" t="s">
        <v>87</v>
      </c>
      <c r="H34" s="97"/>
      <c r="I34" s="97" t="s">
        <v>304</v>
      </c>
      <c r="J34" s="93" t="s">
        <v>88</v>
      </c>
      <c r="K34" s="93">
        <v>2.85</v>
      </c>
      <c r="L34" s="93">
        <v>2.85</v>
      </c>
      <c r="M34" s="97"/>
      <c r="N34" s="97" t="s">
        <v>169</v>
      </c>
      <c r="O34" s="97" t="s">
        <v>277</v>
      </c>
      <c r="P34" s="97" t="s">
        <v>277</v>
      </c>
      <c r="Q34" s="97" t="s">
        <v>277</v>
      </c>
      <c r="R34" s="97" t="s">
        <v>277</v>
      </c>
      <c r="S34" s="102" t="s">
        <v>118</v>
      </c>
      <c r="T34" s="97"/>
      <c r="U34" s="97" t="s">
        <v>91</v>
      </c>
      <c r="V34" s="105"/>
      <c r="W34" s="97" t="s">
        <v>287</v>
      </c>
      <c r="X34" s="105"/>
    </row>
    <row r="35" spans="2:24" ht="60" x14ac:dyDescent="0.25">
      <c r="B35" s="90">
        <v>32</v>
      </c>
      <c r="C35" s="77" t="s">
        <v>179</v>
      </c>
      <c r="D35" s="78" t="s">
        <v>186</v>
      </c>
      <c r="E35" s="97"/>
      <c r="F35" s="97" t="s">
        <v>81</v>
      </c>
      <c r="G35" s="97" t="s">
        <v>87</v>
      </c>
      <c r="H35" s="97" t="s">
        <v>304</v>
      </c>
      <c r="I35" s="97" t="s">
        <v>304</v>
      </c>
      <c r="J35" s="93" t="s">
        <v>88</v>
      </c>
      <c r="K35" s="93">
        <v>4.1900000000000004</v>
      </c>
      <c r="L35" s="93">
        <v>4.1900000000000004</v>
      </c>
      <c r="M35" s="97"/>
      <c r="N35" s="97" t="s">
        <v>180</v>
      </c>
      <c r="O35" s="97" t="s">
        <v>277</v>
      </c>
      <c r="P35" s="97" t="s">
        <v>277</v>
      </c>
      <c r="Q35" s="97" t="s">
        <v>277</v>
      </c>
      <c r="R35" s="97" t="s">
        <v>277</v>
      </c>
      <c r="S35" s="102" t="s">
        <v>118</v>
      </c>
      <c r="T35" s="97"/>
      <c r="U35" s="97" t="s">
        <v>91</v>
      </c>
      <c r="V35" s="105"/>
      <c r="W35" s="97" t="s">
        <v>287</v>
      </c>
      <c r="X35" s="105"/>
    </row>
    <row r="36" spans="2:24" ht="45" x14ac:dyDescent="0.25">
      <c r="B36" s="90">
        <v>33</v>
      </c>
      <c r="C36" s="77" t="s">
        <v>188</v>
      </c>
      <c r="D36" s="78" t="s">
        <v>189</v>
      </c>
      <c r="E36" s="97"/>
      <c r="F36" s="97" t="s">
        <v>81</v>
      </c>
      <c r="G36" s="97" t="s">
        <v>100</v>
      </c>
      <c r="H36" s="97"/>
      <c r="I36" s="97"/>
      <c r="J36" s="93" t="s">
        <v>88</v>
      </c>
      <c r="K36" s="93">
        <v>7.96</v>
      </c>
      <c r="L36" s="93">
        <v>7.96</v>
      </c>
      <c r="M36" s="97"/>
      <c r="N36" s="97" t="s">
        <v>190</v>
      </c>
      <c r="O36" s="97" t="s">
        <v>277</v>
      </c>
      <c r="P36" s="97" t="s">
        <v>277</v>
      </c>
      <c r="Q36" s="97" t="s">
        <v>277</v>
      </c>
      <c r="R36" s="97" t="s">
        <v>277</v>
      </c>
      <c r="S36" s="102" t="s">
        <v>118</v>
      </c>
      <c r="T36" s="97"/>
      <c r="U36" s="97" t="s">
        <v>91</v>
      </c>
      <c r="V36" s="105"/>
      <c r="W36" s="97" t="s">
        <v>287</v>
      </c>
      <c r="X36" s="105"/>
    </row>
    <row r="37" spans="2:24" ht="90" x14ac:dyDescent="0.25">
      <c r="B37" s="90">
        <v>34</v>
      </c>
      <c r="C37" s="78" t="s">
        <v>196</v>
      </c>
      <c r="D37" s="78" t="s">
        <v>197</v>
      </c>
      <c r="E37" s="97"/>
      <c r="F37" s="97" t="s">
        <v>81</v>
      </c>
      <c r="G37" s="97" t="s">
        <v>100</v>
      </c>
      <c r="H37" s="97" t="s">
        <v>304</v>
      </c>
      <c r="I37" s="97" t="s">
        <v>304</v>
      </c>
      <c r="J37" s="93" t="s">
        <v>88</v>
      </c>
      <c r="K37" s="101">
        <v>4</v>
      </c>
      <c r="L37" s="101">
        <v>4</v>
      </c>
      <c r="M37" s="97"/>
      <c r="N37" s="97" t="s">
        <v>198</v>
      </c>
      <c r="O37" s="97" t="s">
        <v>277</v>
      </c>
      <c r="P37" s="97" t="s">
        <v>277</v>
      </c>
      <c r="Q37" s="97" t="s">
        <v>277</v>
      </c>
      <c r="R37" s="97" t="s">
        <v>277</v>
      </c>
      <c r="S37" s="102" t="s">
        <v>118</v>
      </c>
      <c r="T37" s="97"/>
      <c r="U37" s="97" t="s">
        <v>91</v>
      </c>
      <c r="V37" s="105"/>
      <c r="W37" s="97" t="s">
        <v>287</v>
      </c>
      <c r="X37" s="105"/>
    </row>
    <row r="38" spans="2:24" ht="45" x14ac:dyDescent="0.25">
      <c r="B38" s="90">
        <v>35</v>
      </c>
      <c r="C38" s="78" t="s">
        <v>158</v>
      </c>
      <c r="D38" s="78" t="s">
        <v>202</v>
      </c>
      <c r="E38" s="97" t="s">
        <v>127</v>
      </c>
      <c r="F38" s="109" t="s">
        <v>161</v>
      </c>
      <c r="G38" s="97" t="s">
        <v>100</v>
      </c>
      <c r="H38" s="97" t="s">
        <v>351</v>
      </c>
      <c r="I38" s="97"/>
      <c r="J38" s="93" t="s">
        <v>88</v>
      </c>
      <c r="K38" s="93" t="s">
        <v>88</v>
      </c>
      <c r="L38" s="93" t="s">
        <v>88</v>
      </c>
      <c r="M38" s="97" t="s">
        <v>159</v>
      </c>
      <c r="N38" s="98" t="s">
        <v>324</v>
      </c>
      <c r="O38" s="97" t="s">
        <v>277</v>
      </c>
      <c r="P38" s="97" t="s">
        <v>277</v>
      </c>
      <c r="Q38" s="97" t="s">
        <v>277</v>
      </c>
      <c r="R38" s="97" t="s">
        <v>277</v>
      </c>
      <c r="S38" s="102" t="s">
        <v>118</v>
      </c>
      <c r="T38" s="97">
        <v>1120004762</v>
      </c>
      <c r="U38" s="97" t="s">
        <v>91</v>
      </c>
      <c r="V38" s="105"/>
      <c r="W38" s="98" t="s">
        <v>302</v>
      </c>
      <c r="X38" s="105"/>
    </row>
    <row r="39" spans="2:24" ht="30" x14ac:dyDescent="0.25">
      <c r="B39" s="90">
        <v>36</v>
      </c>
      <c r="C39" s="78" t="s">
        <v>203</v>
      </c>
      <c r="D39" s="77" t="s">
        <v>204</v>
      </c>
      <c r="E39" s="97" t="s">
        <v>127</v>
      </c>
      <c r="F39" s="97" t="s">
        <v>161</v>
      </c>
      <c r="G39" s="97"/>
      <c r="H39" s="97" t="s">
        <v>351</v>
      </c>
      <c r="I39" s="97"/>
      <c r="J39" s="93" t="s">
        <v>88</v>
      </c>
      <c r="K39" s="93" t="s">
        <v>88</v>
      </c>
      <c r="L39" s="93"/>
      <c r="M39" s="97" t="s">
        <v>205</v>
      </c>
      <c r="N39" s="97" t="s">
        <v>206</v>
      </c>
      <c r="O39" s="97"/>
      <c r="P39" s="97"/>
      <c r="Q39" s="97"/>
      <c r="R39" s="97"/>
      <c r="S39" s="97" t="s">
        <v>289</v>
      </c>
      <c r="T39" s="97">
        <v>1120004783</v>
      </c>
      <c r="U39" s="97"/>
      <c r="V39" s="105"/>
      <c r="W39" s="97"/>
      <c r="X39" s="105"/>
    </row>
    <row r="40" spans="2:24" ht="75" x14ac:dyDescent="0.25">
      <c r="B40" s="90">
        <v>37</v>
      </c>
      <c r="C40" s="78" t="s">
        <v>207</v>
      </c>
      <c r="D40" s="78" t="s">
        <v>208</v>
      </c>
      <c r="E40" s="97" t="s">
        <v>127</v>
      </c>
      <c r="F40" s="97" t="s">
        <v>209</v>
      </c>
      <c r="G40" s="97"/>
      <c r="H40" s="97" t="s">
        <v>351</v>
      </c>
      <c r="I40" s="97"/>
      <c r="J40" s="93"/>
      <c r="K40" s="101">
        <v>20</v>
      </c>
      <c r="L40" s="93"/>
      <c r="M40" s="97" t="s">
        <v>205</v>
      </c>
      <c r="N40" s="97" t="s">
        <v>210</v>
      </c>
      <c r="O40" s="97"/>
      <c r="P40" s="97"/>
      <c r="Q40" s="97"/>
      <c r="R40" s="97"/>
      <c r="S40" s="97" t="s">
        <v>289</v>
      </c>
      <c r="T40" s="97"/>
      <c r="U40" s="97"/>
      <c r="V40" s="105"/>
      <c r="W40" s="97"/>
      <c r="X40" s="105"/>
    </row>
    <row r="41" spans="2:24" ht="75" x14ac:dyDescent="0.25">
      <c r="B41" s="90">
        <v>38</v>
      </c>
      <c r="C41" s="78" t="s">
        <v>211</v>
      </c>
      <c r="D41" s="78" t="s">
        <v>212</v>
      </c>
      <c r="E41" s="97"/>
      <c r="F41" s="97" t="s">
        <v>81</v>
      </c>
      <c r="G41" s="97" t="s">
        <v>116</v>
      </c>
      <c r="H41" s="97" t="s">
        <v>351</v>
      </c>
      <c r="I41" s="97"/>
      <c r="J41" s="93" t="s">
        <v>88</v>
      </c>
      <c r="K41" s="101">
        <v>12.8</v>
      </c>
      <c r="L41" s="101">
        <v>12.8</v>
      </c>
      <c r="M41" s="97"/>
      <c r="N41" s="97" t="s">
        <v>160</v>
      </c>
      <c r="O41" s="97" t="s">
        <v>277</v>
      </c>
      <c r="P41" s="97" t="s">
        <v>277</v>
      </c>
      <c r="Q41" s="97" t="s">
        <v>277</v>
      </c>
      <c r="R41" s="97" t="s">
        <v>277</v>
      </c>
      <c r="S41" s="102" t="s">
        <v>118</v>
      </c>
      <c r="T41" s="97"/>
      <c r="U41" s="97" t="s">
        <v>91</v>
      </c>
      <c r="V41" s="105"/>
      <c r="W41" s="97" t="s">
        <v>287</v>
      </c>
      <c r="X41" s="105"/>
    </row>
    <row r="42" spans="2:24" ht="60" x14ac:dyDescent="0.25">
      <c r="B42" s="90">
        <v>39</v>
      </c>
      <c r="C42" s="78" t="s">
        <v>213</v>
      </c>
      <c r="D42" s="78" t="s">
        <v>214</v>
      </c>
      <c r="E42" s="97"/>
      <c r="F42" s="97" t="s">
        <v>81</v>
      </c>
      <c r="G42" s="97" t="s">
        <v>136</v>
      </c>
      <c r="H42" s="97" t="s">
        <v>351</v>
      </c>
      <c r="I42" s="97"/>
      <c r="J42" s="93" t="s">
        <v>88</v>
      </c>
      <c r="K42" s="93">
        <v>1.56</v>
      </c>
      <c r="L42" s="93">
        <v>1.56</v>
      </c>
      <c r="M42" s="97"/>
      <c r="N42" s="97" t="s">
        <v>215</v>
      </c>
      <c r="O42" s="97" t="s">
        <v>277</v>
      </c>
      <c r="P42" s="97" t="s">
        <v>277</v>
      </c>
      <c r="Q42" s="97" t="s">
        <v>277</v>
      </c>
      <c r="R42" s="97" t="s">
        <v>277</v>
      </c>
      <c r="S42" s="102" t="s">
        <v>118</v>
      </c>
      <c r="T42" s="97"/>
      <c r="U42" s="97" t="s">
        <v>91</v>
      </c>
      <c r="V42" s="105"/>
      <c r="W42" s="97" t="s">
        <v>287</v>
      </c>
      <c r="X42" s="105"/>
    </row>
    <row r="43" spans="2:24" ht="45" x14ac:dyDescent="0.25">
      <c r="B43" s="90">
        <v>40</v>
      </c>
      <c r="C43" s="78" t="s">
        <v>221</v>
      </c>
      <c r="D43" s="78" t="s">
        <v>222</v>
      </c>
      <c r="E43" s="97" t="s">
        <v>127</v>
      </c>
      <c r="F43" s="98" t="s">
        <v>74</v>
      </c>
      <c r="G43" s="97"/>
      <c r="H43" s="97" t="s">
        <v>351</v>
      </c>
      <c r="I43" s="97" t="s">
        <v>303</v>
      </c>
      <c r="J43" s="93">
        <v>0.05</v>
      </c>
      <c r="K43" s="93">
        <v>3.99</v>
      </c>
      <c r="L43" s="93"/>
      <c r="M43" s="97" t="s">
        <v>224</v>
      </c>
      <c r="N43" s="97" t="s">
        <v>223</v>
      </c>
      <c r="O43" s="97"/>
      <c r="P43" s="97"/>
      <c r="Q43" s="97"/>
      <c r="R43" s="97"/>
      <c r="S43" s="97" t="s">
        <v>289</v>
      </c>
      <c r="T43" s="97"/>
      <c r="U43" s="97"/>
      <c r="V43" s="105"/>
      <c r="W43" s="97"/>
      <c r="X43" s="105"/>
    </row>
    <row r="44" spans="2:24" ht="30" x14ac:dyDescent="0.25">
      <c r="B44" s="90">
        <v>41</v>
      </c>
      <c r="C44" s="78" t="s">
        <v>225</v>
      </c>
      <c r="D44" s="77" t="s">
        <v>226</v>
      </c>
      <c r="E44" s="97" t="s">
        <v>127</v>
      </c>
      <c r="F44" s="98" t="s">
        <v>74</v>
      </c>
      <c r="G44" s="97"/>
      <c r="H44" s="97" t="s">
        <v>351</v>
      </c>
      <c r="I44" s="97" t="s">
        <v>300</v>
      </c>
      <c r="J44" s="93">
        <f>K44*0.02</f>
        <v>0.08</v>
      </c>
      <c r="K44" s="101">
        <v>4</v>
      </c>
      <c r="L44" s="93"/>
      <c r="M44" s="97" t="s">
        <v>227</v>
      </c>
      <c r="N44" s="97" t="s">
        <v>228</v>
      </c>
      <c r="O44" s="97"/>
      <c r="P44" s="97"/>
      <c r="Q44" s="97"/>
      <c r="R44" s="97"/>
      <c r="S44" s="97" t="s">
        <v>289</v>
      </c>
      <c r="T44" s="97">
        <v>1120004794</v>
      </c>
      <c r="U44" s="97"/>
      <c r="V44" s="105"/>
      <c r="W44" s="97"/>
      <c r="X44" s="105"/>
    </row>
    <row r="45" spans="2:24" ht="75" x14ac:dyDescent="0.25">
      <c r="B45" s="90">
        <v>42</v>
      </c>
      <c r="C45" s="77" t="s">
        <v>229</v>
      </c>
      <c r="D45" s="78" t="s">
        <v>265</v>
      </c>
      <c r="E45" s="97"/>
      <c r="F45" s="98" t="s">
        <v>81</v>
      </c>
      <c r="G45" s="97" t="s">
        <v>87</v>
      </c>
      <c r="H45" s="97" t="s">
        <v>351</v>
      </c>
      <c r="I45" s="97"/>
      <c r="J45" s="93" t="s">
        <v>88</v>
      </c>
      <c r="K45" s="93">
        <v>12.08</v>
      </c>
      <c r="L45" s="93">
        <v>12.08</v>
      </c>
      <c r="M45" s="97"/>
      <c r="N45" s="97" t="s">
        <v>230</v>
      </c>
      <c r="O45" s="97" t="s">
        <v>277</v>
      </c>
      <c r="P45" s="97" t="s">
        <v>277</v>
      </c>
      <c r="Q45" s="97" t="s">
        <v>277</v>
      </c>
      <c r="R45" s="97" t="s">
        <v>277</v>
      </c>
      <c r="S45" s="102" t="s">
        <v>118</v>
      </c>
      <c r="T45" s="97"/>
      <c r="U45" s="97" t="s">
        <v>91</v>
      </c>
      <c r="V45" s="105"/>
      <c r="W45" s="97" t="s">
        <v>287</v>
      </c>
      <c r="X45" s="105"/>
    </row>
    <row r="46" spans="2:24" ht="75" x14ac:dyDescent="0.25">
      <c r="B46" s="90">
        <v>43</v>
      </c>
      <c r="C46" s="113" t="s">
        <v>313</v>
      </c>
      <c r="D46" s="78" t="s">
        <v>232</v>
      </c>
      <c r="E46" s="97"/>
      <c r="F46" s="98" t="s">
        <v>81</v>
      </c>
      <c r="G46" s="97" t="s">
        <v>100</v>
      </c>
      <c r="H46" s="97" t="s">
        <v>351</v>
      </c>
      <c r="I46" s="97"/>
      <c r="J46" s="93" t="s">
        <v>88</v>
      </c>
      <c r="K46" s="93">
        <v>0.21</v>
      </c>
      <c r="L46" s="93">
        <v>0.21</v>
      </c>
      <c r="M46" s="97"/>
      <c r="N46" s="98" t="s">
        <v>483</v>
      </c>
      <c r="O46" s="97" t="s">
        <v>277</v>
      </c>
      <c r="P46" s="97" t="s">
        <v>277</v>
      </c>
      <c r="Q46" s="97" t="s">
        <v>277</v>
      </c>
      <c r="R46" s="97" t="s">
        <v>277</v>
      </c>
      <c r="S46" s="102" t="s">
        <v>118</v>
      </c>
      <c r="T46" s="97"/>
      <c r="U46" s="97" t="s">
        <v>91</v>
      </c>
      <c r="V46" s="105"/>
      <c r="W46" s="97" t="s">
        <v>287</v>
      </c>
      <c r="X46" s="105"/>
    </row>
    <row r="47" spans="2:24" ht="90" x14ac:dyDescent="0.25">
      <c r="B47" s="90">
        <v>44</v>
      </c>
      <c r="C47" s="78" t="s">
        <v>233</v>
      </c>
      <c r="D47" s="78" t="s">
        <v>234</v>
      </c>
      <c r="E47" s="97"/>
      <c r="F47" s="98" t="s">
        <v>81</v>
      </c>
      <c r="G47" s="97" t="s">
        <v>87</v>
      </c>
      <c r="H47" s="97" t="s">
        <v>351</v>
      </c>
      <c r="I47" s="97"/>
      <c r="J47" s="93" t="s">
        <v>88</v>
      </c>
      <c r="K47" s="93">
        <v>123.03</v>
      </c>
      <c r="L47" s="93">
        <v>123.03</v>
      </c>
      <c r="M47" s="97"/>
      <c r="N47" s="97" t="s">
        <v>231</v>
      </c>
      <c r="O47" s="97" t="s">
        <v>277</v>
      </c>
      <c r="P47" s="97" t="s">
        <v>277</v>
      </c>
      <c r="Q47" s="97" t="s">
        <v>277</v>
      </c>
      <c r="R47" s="97" t="s">
        <v>277</v>
      </c>
      <c r="S47" s="102" t="s">
        <v>118</v>
      </c>
      <c r="T47" s="97"/>
      <c r="U47" s="97" t="s">
        <v>91</v>
      </c>
      <c r="V47" s="105"/>
      <c r="W47" s="97" t="s">
        <v>287</v>
      </c>
      <c r="X47" s="105"/>
    </row>
    <row r="48" spans="2:24" ht="75" x14ac:dyDescent="0.25">
      <c r="B48" s="90">
        <v>45</v>
      </c>
      <c r="C48" s="78" t="s">
        <v>352</v>
      </c>
      <c r="D48" s="78" t="s">
        <v>235</v>
      </c>
      <c r="E48" s="97"/>
      <c r="F48" s="98" t="s">
        <v>81</v>
      </c>
      <c r="G48" s="97" t="s">
        <v>174</v>
      </c>
      <c r="H48" s="97"/>
      <c r="I48" s="97" t="s">
        <v>304</v>
      </c>
      <c r="J48" s="93" t="s">
        <v>88</v>
      </c>
      <c r="K48" s="93">
        <v>2.16</v>
      </c>
      <c r="L48" s="93">
        <v>2.16</v>
      </c>
      <c r="M48" s="97"/>
      <c r="N48" s="97" t="s">
        <v>236</v>
      </c>
      <c r="O48" s="97" t="s">
        <v>277</v>
      </c>
      <c r="P48" s="97" t="s">
        <v>277</v>
      </c>
      <c r="Q48" s="97" t="s">
        <v>277</v>
      </c>
      <c r="R48" s="97" t="s">
        <v>277</v>
      </c>
      <c r="S48" s="102" t="s">
        <v>118</v>
      </c>
      <c r="T48" s="97"/>
      <c r="U48" s="97" t="s">
        <v>91</v>
      </c>
      <c r="V48" s="105"/>
      <c r="W48" s="97" t="s">
        <v>287</v>
      </c>
      <c r="X48" s="105"/>
    </row>
    <row r="49" spans="2:24" ht="45" x14ac:dyDescent="0.25">
      <c r="B49" s="90">
        <v>46</v>
      </c>
      <c r="C49" s="128" t="s">
        <v>314</v>
      </c>
      <c r="D49" s="78" t="s">
        <v>315</v>
      </c>
      <c r="E49" s="97"/>
      <c r="F49" s="98" t="s">
        <v>81</v>
      </c>
      <c r="G49" s="97"/>
      <c r="H49" s="97" t="s">
        <v>304</v>
      </c>
      <c r="I49" s="97" t="s">
        <v>424</v>
      </c>
      <c r="J49" s="93" t="s">
        <v>88</v>
      </c>
      <c r="K49" s="115" t="s">
        <v>383</v>
      </c>
      <c r="L49" s="115" t="s">
        <v>383</v>
      </c>
      <c r="M49" s="97"/>
      <c r="N49" s="97" t="s">
        <v>247</v>
      </c>
      <c r="O49" s="97" t="s">
        <v>277</v>
      </c>
      <c r="P49" s="97" t="s">
        <v>277</v>
      </c>
      <c r="Q49" s="97" t="s">
        <v>277</v>
      </c>
      <c r="R49" s="97" t="s">
        <v>277</v>
      </c>
      <c r="S49" s="102" t="s">
        <v>118</v>
      </c>
      <c r="T49" s="97"/>
      <c r="U49" s="97" t="s">
        <v>91</v>
      </c>
      <c r="V49" s="105"/>
      <c r="W49" s="97" t="s">
        <v>287</v>
      </c>
      <c r="X49" s="105"/>
    </row>
    <row r="50" spans="2:24" ht="60" x14ac:dyDescent="0.25">
      <c r="B50" s="90">
        <v>47</v>
      </c>
      <c r="C50" s="78" t="s">
        <v>316</v>
      </c>
      <c r="D50" s="78" t="s">
        <v>315</v>
      </c>
      <c r="E50" s="97"/>
      <c r="F50" s="98" t="s">
        <v>81</v>
      </c>
      <c r="G50" s="97"/>
      <c r="H50" s="97" t="s">
        <v>304</v>
      </c>
      <c r="I50" s="97" t="s">
        <v>424</v>
      </c>
      <c r="J50" s="93" t="s">
        <v>88</v>
      </c>
      <c r="K50" s="115">
        <v>5.52</v>
      </c>
      <c r="L50" s="115">
        <v>5.52</v>
      </c>
      <c r="M50" s="97"/>
      <c r="N50" s="98" t="s">
        <v>356</v>
      </c>
      <c r="O50" s="97" t="s">
        <v>277</v>
      </c>
      <c r="P50" s="97" t="s">
        <v>277</v>
      </c>
      <c r="Q50" s="97" t="s">
        <v>277</v>
      </c>
      <c r="R50" s="97" t="s">
        <v>277</v>
      </c>
      <c r="S50" s="102" t="s">
        <v>118</v>
      </c>
      <c r="T50" s="97"/>
      <c r="U50" s="97" t="s">
        <v>91</v>
      </c>
      <c r="V50" s="105"/>
      <c r="W50" s="97" t="s">
        <v>287</v>
      </c>
      <c r="X50" s="105"/>
    </row>
    <row r="51" spans="2:24" ht="45" x14ac:dyDescent="0.25">
      <c r="B51" s="90">
        <v>48</v>
      </c>
      <c r="C51" s="78" t="s">
        <v>317</v>
      </c>
      <c r="D51" s="78" t="s">
        <v>315</v>
      </c>
      <c r="E51" s="97"/>
      <c r="F51" s="98" t="s">
        <v>81</v>
      </c>
      <c r="G51" s="97"/>
      <c r="H51" s="97" t="s">
        <v>304</v>
      </c>
      <c r="I51" s="97" t="s">
        <v>304</v>
      </c>
      <c r="J51" s="93" t="s">
        <v>88</v>
      </c>
      <c r="K51" s="115" t="s">
        <v>384</v>
      </c>
      <c r="L51" s="115" t="s">
        <v>384</v>
      </c>
      <c r="M51" s="97"/>
      <c r="N51" s="97" t="s">
        <v>241</v>
      </c>
      <c r="O51" s="97" t="s">
        <v>277</v>
      </c>
      <c r="P51" s="97" t="s">
        <v>277</v>
      </c>
      <c r="Q51" s="97" t="s">
        <v>277</v>
      </c>
      <c r="R51" s="97" t="s">
        <v>277</v>
      </c>
      <c r="S51" s="102" t="s">
        <v>118</v>
      </c>
      <c r="T51" s="97"/>
      <c r="U51" s="97" t="s">
        <v>91</v>
      </c>
      <c r="V51" s="105"/>
      <c r="W51" s="97" t="s">
        <v>287</v>
      </c>
      <c r="X51" s="105"/>
    </row>
    <row r="52" spans="2:24" ht="30" x14ac:dyDescent="0.25">
      <c r="B52" s="90">
        <v>49</v>
      </c>
      <c r="C52" s="78" t="s">
        <v>237</v>
      </c>
      <c r="D52" s="77" t="s">
        <v>238</v>
      </c>
      <c r="E52" s="97" t="s">
        <v>127</v>
      </c>
      <c r="F52" s="97" t="s">
        <v>161</v>
      </c>
      <c r="G52" s="97" t="s">
        <v>100</v>
      </c>
      <c r="H52" s="97" t="s">
        <v>351</v>
      </c>
      <c r="I52" s="97"/>
      <c r="J52" s="93" t="s">
        <v>88</v>
      </c>
      <c r="K52" s="93" t="s">
        <v>88</v>
      </c>
      <c r="L52" s="93" t="s">
        <v>88</v>
      </c>
      <c r="M52" s="97" t="s">
        <v>239</v>
      </c>
      <c r="N52" s="97" t="s">
        <v>240</v>
      </c>
      <c r="O52" s="97"/>
      <c r="P52" s="97"/>
      <c r="Q52" s="97"/>
      <c r="R52" s="97"/>
      <c r="S52" s="97" t="s">
        <v>289</v>
      </c>
      <c r="T52" s="97">
        <v>1120004807</v>
      </c>
      <c r="U52" s="97"/>
      <c r="V52" s="105"/>
      <c r="W52" s="97"/>
      <c r="X52" s="105"/>
    </row>
    <row r="53" spans="2:24" x14ac:dyDescent="0.25">
      <c r="B53" s="90">
        <v>50</v>
      </c>
      <c r="C53" s="78" t="s">
        <v>242</v>
      </c>
      <c r="D53" s="77" t="s">
        <v>243</v>
      </c>
      <c r="E53" s="97" t="s">
        <v>127</v>
      </c>
      <c r="F53" s="98" t="s">
        <v>74</v>
      </c>
      <c r="G53" s="97"/>
      <c r="H53" s="97" t="s">
        <v>351</v>
      </c>
      <c r="I53" s="97"/>
      <c r="J53" s="93">
        <f>K53*0.02</f>
        <v>3.6</v>
      </c>
      <c r="K53" s="93">
        <v>180</v>
      </c>
      <c r="L53" s="93"/>
      <c r="M53" s="97" t="s">
        <v>239</v>
      </c>
      <c r="N53" s="97" t="s">
        <v>241</v>
      </c>
      <c r="O53" s="97"/>
      <c r="P53" s="97"/>
      <c r="Q53" s="97"/>
      <c r="R53" s="97"/>
      <c r="S53" s="97" t="s">
        <v>289</v>
      </c>
      <c r="T53" s="97">
        <v>1120004808</v>
      </c>
      <c r="U53" s="97"/>
      <c r="V53" s="105"/>
      <c r="W53" s="97"/>
      <c r="X53" s="105"/>
    </row>
    <row r="54" spans="2:24" ht="30" x14ac:dyDescent="0.25">
      <c r="B54" s="90">
        <v>51</v>
      </c>
      <c r="C54" s="78" t="s">
        <v>258</v>
      </c>
      <c r="D54" s="77" t="s">
        <v>260</v>
      </c>
      <c r="E54" s="97" t="s">
        <v>127</v>
      </c>
      <c r="F54" s="97" t="s">
        <v>74</v>
      </c>
      <c r="G54" s="97" t="s">
        <v>100</v>
      </c>
      <c r="H54" s="97" t="s">
        <v>351</v>
      </c>
      <c r="I54" s="97"/>
      <c r="J54" s="93">
        <f>K54*0.02</f>
        <v>3</v>
      </c>
      <c r="K54" s="93">
        <v>150</v>
      </c>
      <c r="L54" s="93"/>
      <c r="M54" s="97" t="s">
        <v>262</v>
      </c>
      <c r="N54" s="97" t="s">
        <v>263</v>
      </c>
      <c r="O54" s="97"/>
      <c r="P54" s="97"/>
      <c r="Q54" s="97"/>
      <c r="R54" s="97"/>
      <c r="S54" s="97" t="s">
        <v>289</v>
      </c>
      <c r="T54" s="97">
        <v>1120004814</v>
      </c>
      <c r="U54" s="97"/>
      <c r="V54" s="105"/>
      <c r="W54" s="97"/>
      <c r="X54" s="105"/>
    </row>
    <row r="55" spans="2:24" ht="30" x14ac:dyDescent="0.25">
      <c r="B55" s="90">
        <v>52</v>
      </c>
      <c r="C55" s="78" t="s">
        <v>259</v>
      </c>
      <c r="D55" s="77" t="s">
        <v>261</v>
      </c>
      <c r="E55" s="97" t="s">
        <v>127</v>
      </c>
      <c r="F55" s="97" t="s">
        <v>161</v>
      </c>
      <c r="G55" s="97"/>
      <c r="H55" s="97" t="s">
        <v>351</v>
      </c>
      <c r="I55" s="97" t="s">
        <v>303</v>
      </c>
      <c r="J55" s="93" t="s">
        <v>88</v>
      </c>
      <c r="K55" s="93" t="s">
        <v>88</v>
      </c>
      <c r="L55" s="93"/>
      <c r="M55" s="97" t="s">
        <v>262</v>
      </c>
      <c r="N55" s="97" t="s">
        <v>264</v>
      </c>
      <c r="O55" s="97"/>
      <c r="P55" s="97"/>
      <c r="Q55" s="97"/>
      <c r="R55" s="97"/>
      <c r="S55" s="97" t="s">
        <v>289</v>
      </c>
      <c r="T55" s="97">
        <v>1120004815</v>
      </c>
      <c r="U55" s="97"/>
      <c r="V55" s="105"/>
      <c r="W55" s="97"/>
      <c r="X55" s="105"/>
    </row>
    <row r="56" spans="2:24" ht="30" x14ac:dyDescent="0.25">
      <c r="B56" s="90">
        <v>53</v>
      </c>
      <c r="C56" s="78" t="s">
        <v>305</v>
      </c>
      <c r="D56" s="77" t="s">
        <v>306</v>
      </c>
      <c r="E56" s="97"/>
      <c r="F56" s="97" t="s">
        <v>81</v>
      </c>
      <c r="G56" s="97" t="s">
        <v>87</v>
      </c>
      <c r="H56" s="97" t="s">
        <v>304</v>
      </c>
      <c r="I56" s="97" t="s">
        <v>303</v>
      </c>
      <c r="J56" s="93"/>
      <c r="K56" s="93">
        <v>29</v>
      </c>
      <c r="L56" s="93">
        <v>29</v>
      </c>
      <c r="M56" s="97"/>
      <c r="N56" s="97" t="s">
        <v>307</v>
      </c>
      <c r="O56" s="97" t="s">
        <v>277</v>
      </c>
      <c r="P56" s="97" t="s">
        <v>277</v>
      </c>
      <c r="Q56" s="97" t="s">
        <v>277</v>
      </c>
      <c r="R56" s="97" t="s">
        <v>277</v>
      </c>
      <c r="S56" s="102" t="s">
        <v>118</v>
      </c>
      <c r="T56" s="97"/>
      <c r="U56" s="97" t="s">
        <v>91</v>
      </c>
      <c r="V56" s="105"/>
      <c r="W56" s="97" t="s">
        <v>287</v>
      </c>
      <c r="X56" s="105"/>
    </row>
    <row r="57" spans="2:24" ht="30" x14ac:dyDescent="0.25">
      <c r="B57" s="90">
        <v>54</v>
      </c>
      <c r="C57" s="78" t="s">
        <v>318</v>
      </c>
      <c r="D57" s="78" t="s">
        <v>320</v>
      </c>
      <c r="E57" s="97" t="s">
        <v>127</v>
      </c>
      <c r="F57" s="97" t="s">
        <v>74</v>
      </c>
      <c r="G57" s="105"/>
      <c r="H57" s="97" t="s">
        <v>351</v>
      </c>
      <c r="I57" s="105"/>
      <c r="J57" s="117">
        <f>K57*0.1</f>
        <v>2.6</v>
      </c>
      <c r="K57" s="93">
        <v>26</v>
      </c>
      <c r="L57" s="93"/>
      <c r="M57" s="79" t="s">
        <v>321</v>
      </c>
      <c r="N57" s="97" t="s">
        <v>323</v>
      </c>
      <c r="O57" s="105"/>
      <c r="P57" s="105"/>
      <c r="Q57" s="105"/>
      <c r="R57" s="105"/>
      <c r="S57" s="97" t="s">
        <v>289</v>
      </c>
      <c r="T57" s="97">
        <v>1120004829</v>
      </c>
      <c r="U57" s="105"/>
      <c r="V57" s="105"/>
      <c r="W57" s="105"/>
      <c r="X57" s="105"/>
    </row>
    <row r="58" spans="2:24" ht="30" x14ac:dyDescent="0.25">
      <c r="B58" s="90">
        <v>55</v>
      </c>
      <c r="C58" s="78" t="s">
        <v>319</v>
      </c>
      <c r="D58" s="78" t="s">
        <v>217</v>
      </c>
      <c r="E58" s="97" t="s">
        <v>127</v>
      </c>
      <c r="F58" s="97" t="s">
        <v>74</v>
      </c>
      <c r="G58" s="105"/>
      <c r="H58" s="97" t="s">
        <v>351</v>
      </c>
      <c r="I58" s="105"/>
      <c r="J58" s="117">
        <f>K58*0.1</f>
        <v>1</v>
      </c>
      <c r="K58" s="93">
        <v>10</v>
      </c>
      <c r="L58" s="93"/>
      <c r="M58" s="79" t="s">
        <v>322</v>
      </c>
      <c r="N58" s="117"/>
      <c r="O58" s="105"/>
      <c r="P58" s="105"/>
      <c r="Q58" s="105"/>
      <c r="R58" s="105"/>
      <c r="S58" s="97" t="s">
        <v>289</v>
      </c>
      <c r="T58" s="97">
        <v>1120004827</v>
      </c>
      <c r="U58" s="105"/>
      <c r="V58" s="105"/>
      <c r="W58" s="105"/>
      <c r="X58" s="105"/>
    </row>
    <row r="59" spans="2:24" ht="45" x14ac:dyDescent="0.25">
      <c r="B59" s="90">
        <v>56</v>
      </c>
      <c r="C59" s="91" t="s">
        <v>326</v>
      </c>
      <c r="D59" s="78" t="s">
        <v>327</v>
      </c>
      <c r="E59" s="97"/>
      <c r="F59" s="97" t="s">
        <v>81</v>
      </c>
      <c r="G59" s="97" t="s">
        <v>95</v>
      </c>
      <c r="H59" s="97" t="s">
        <v>351</v>
      </c>
      <c r="I59" s="98" t="s">
        <v>349</v>
      </c>
      <c r="J59" s="117"/>
      <c r="K59" s="93">
        <v>2.08</v>
      </c>
      <c r="L59" s="93">
        <v>2.08</v>
      </c>
      <c r="M59" s="116"/>
      <c r="N59" s="97" t="s">
        <v>206</v>
      </c>
      <c r="O59" s="97" t="s">
        <v>277</v>
      </c>
      <c r="P59" s="97" t="s">
        <v>277</v>
      </c>
      <c r="Q59" s="97" t="s">
        <v>277</v>
      </c>
      <c r="R59" s="97" t="s">
        <v>277</v>
      </c>
      <c r="S59" s="102" t="s">
        <v>118</v>
      </c>
      <c r="T59" s="97"/>
      <c r="U59" s="97" t="s">
        <v>91</v>
      </c>
      <c r="V59" s="105"/>
      <c r="W59" s="97" t="s">
        <v>287</v>
      </c>
      <c r="X59" s="105"/>
    </row>
    <row r="60" spans="2:24" ht="30" x14ac:dyDescent="0.25">
      <c r="B60" s="90">
        <v>57</v>
      </c>
      <c r="C60" s="78" t="s">
        <v>337</v>
      </c>
      <c r="D60" s="77" t="s">
        <v>152</v>
      </c>
      <c r="E60" s="97" t="s">
        <v>127</v>
      </c>
      <c r="F60" s="97" t="s">
        <v>74</v>
      </c>
      <c r="G60" s="117"/>
      <c r="H60" s="97" t="s">
        <v>351</v>
      </c>
      <c r="I60" s="105"/>
      <c r="J60" s="117">
        <f>K60*0.02</f>
        <v>7.5</v>
      </c>
      <c r="K60" s="117">
        <v>375</v>
      </c>
      <c r="L60" s="105"/>
      <c r="M60" s="79" t="s">
        <v>263</v>
      </c>
      <c r="N60" s="97" t="s">
        <v>338</v>
      </c>
      <c r="O60" s="105"/>
      <c r="P60" s="105"/>
      <c r="Q60" s="105"/>
      <c r="R60" s="105"/>
      <c r="S60" s="97" t="s">
        <v>289</v>
      </c>
      <c r="T60" s="97">
        <v>1120004832</v>
      </c>
      <c r="U60" s="97" t="s">
        <v>91</v>
      </c>
      <c r="V60" s="105"/>
      <c r="W60" s="105"/>
      <c r="X60" s="105"/>
    </row>
    <row r="61" spans="2:24" ht="30" x14ac:dyDescent="0.25">
      <c r="B61" s="90">
        <v>58</v>
      </c>
      <c r="C61" s="78" t="s">
        <v>339</v>
      </c>
      <c r="D61" s="77" t="s">
        <v>340</v>
      </c>
      <c r="E61" s="97" t="s">
        <v>127</v>
      </c>
      <c r="F61" s="97" t="s">
        <v>74</v>
      </c>
      <c r="G61" s="97" t="s">
        <v>360</v>
      </c>
      <c r="H61" s="97" t="s">
        <v>351</v>
      </c>
      <c r="I61" s="105"/>
      <c r="J61" s="118">
        <v>0.56999999999999995</v>
      </c>
      <c r="K61" s="119">
        <v>50</v>
      </c>
      <c r="L61" s="105"/>
      <c r="M61" s="79" t="s">
        <v>247</v>
      </c>
      <c r="N61" s="97" t="s">
        <v>240</v>
      </c>
      <c r="O61" s="105"/>
      <c r="P61" s="105"/>
      <c r="Q61" s="105"/>
      <c r="R61" s="105"/>
      <c r="S61" s="79" t="s">
        <v>298</v>
      </c>
      <c r="T61" s="97">
        <v>1120004835</v>
      </c>
      <c r="U61" s="97" t="s">
        <v>91</v>
      </c>
      <c r="V61" s="105"/>
      <c r="W61" s="105"/>
      <c r="X61" s="105"/>
    </row>
    <row r="62" spans="2:24" ht="60" x14ac:dyDescent="0.25">
      <c r="B62" s="90">
        <v>59</v>
      </c>
      <c r="C62" s="78" t="s">
        <v>341</v>
      </c>
      <c r="D62" s="78" t="s">
        <v>342</v>
      </c>
      <c r="E62" s="97" t="s">
        <v>127</v>
      </c>
      <c r="F62" s="97" t="s">
        <v>74</v>
      </c>
      <c r="G62" s="97" t="s">
        <v>100</v>
      </c>
      <c r="H62" s="97" t="s">
        <v>351</v>
      </c>
      <c r="I62" s="105"/>
      <c r="J62" s="93">
        <f>K62*0.01</f>
        <v>0.06</v>
      </c>
      <c r="K62" s="101">
        <v>6</v>
      </c>
      <c r="L62" s="105"/>
      <c r="M62" s="79" t="s">
        <v>256</v>
      </c>
      <c r="N62" s="97" t="s">
        <v>343</v>
      </c>
      <c r="O62" s="105"/>
      <c r="P62" s="105"/>
      <c r="Q62" s="105"/>
      <c r="R62" s="105"/>
      <c r="S62" s="79" t="s">
        <v>298</v>
      </c>
      <c r="T62" s="97"/>
      <c r="U62" s="97" t="s">
        <v>91</v>
      </c>
      <c r="V62" s="105"/>
      <c r="W62" s="105"/>
      <c r="X62" s="105"/>
    </row>
    <row r="63" spans="2:24" ht="60" x14ac:dyDescent="0.25">
      <c r="B63" s="90">
        <v>60</v>
      </c>
      <c r="C63" s="78" t="s">
        <v>347</v>
      </c>
      <c r="D63" s="77" t="s">
        <v>348</v>
      </c>
      <c r="E63" s="97"/>
      <c r="F63" s="97" t="s">
        <v>81</v>
      </c>
      <c r="G63" s="97" t="s">
        <v>174</v>
      </c>
      <c r="H63" s="97" t="s">
        <v>304</v>
      </c>
      <c r="I63" s="97" t="s">
        <v>304</v>
      </c>
      <c r="J63" s="105"/>
      <c r="K63" s="93">
        <v>37.78</v>
      </c>
      <c r="L63" s="93">
        <v>37.78</v>
      </c>
      <c r="M63" s="105"/>
      <c r="N63" s="97" t="s">
        <v>323</v>
      </c>
      <c r="O63" s="97" t="s">
        <v>277</v>
      </c>
      <c r="P63" s="97" t="s">
        <v>277</v>
      </c>
      <c r="Q63" s="97" t="s">
        <v>277</v>
      </c>
      <c r="R63" s="97" t="s">
        <v>277</v>
      </c>
      <c r="S63" s="102" t="s">
        <v>118</v>
      </c>
      <c r="T63" s="97"/>
      <c r="U63" s="97" t="s">
        <v>91</v>
      </c>
      <c r="V63" s="105"/>
      <c r="W63" s="97" t="s">
        <v>287</v>
      </c>
      <c r="X63" s="105"/>
    </row>
    <row r="64" spans="2:24" x14ac:dyDescent="0.25">
      <c r="B64" s="90">
        <v>61</v>
      </c>
      <c r="C64" s="105" t="s">
        <v>353</v>
      </c>
      <c r="D64" s="105" t="s">
        <v>354</v>
      </c>
      <c r="E64" s="97" t="s">
        <v>127</v>
      </c>
      <c r="F64" s="97" t="s">
        <v>209</v>
      </c>
      <c r="G64" s="97" t="s">
        <v>360</v>
      </c>
      <c r="H64" s="97" t="s">
        <v>351</v>
      </c>
      <c r="I64" s="105"/>
      <c r="J64" s="105">
        <v>0.55000000000000004</v>
      </c>
      <c r="K64" s="105">
        <v>27.91</v>
      </c>
      <c r="L64" s="105"/>
      <c r="M64" s="105"/>
      <c r="N64" s="97" t="s">
        <v>355</v>
      </c>
      <c r="O64" s="105"/>
      <c r="P64" s="105"/>
      <c r="Q64" s="105"/>
      <c r="R64" s="105"/>
      <c r="S64" s="105"/>
      <c r="T64" s="97">
        <v>1120004839</v>
      </c>
      <c r="U64" s="97" t="s">
        <v>91</v>
      </c>
      <c r="V64" s="105"/>
      <c r="W64" s="105"/>
      <c r="X64" s="105"/>
    </row>
    <row r="65" spans="2:24" ht="60" x14ac:dyDescent="0.25">
      <c r="B65" s="90">
        <v>62</v>
      </c>
      <c r="C65" s="120" t="s">
        <v>357</v>
      </c>
      <c r="D65" s="120" t="s">
        <v>358</v>
      </c>
      <c r="E65" s="97" t="s">
        <v>127</v>
      </c>
      <c r="F65" s="97" t="s">
        <v>74</v>
      </c>
      <c r="G65" s="97" t="s">
        <v>360</v>
      </c>
      <c r="H65" s="105"/>
      <c r="I65" s="105"/>
      <c r="J65" s="117">
        <v>0.38</v>
      </c>
      <c r="K65" s="93">
        <v>7.73</v>
      </c>
      <c r="L65" s="105"/>
      <c r="M65" s="97" t="s">
        <v>247</v>
      </c>
      <c r="N65" s="97" t="s">
        <v>359</v>
      </c>
      <c r="O65" s="105"/>
      <c r="P65" s="97" t="s">
        <v>466</v>
      </c>
      <c r="Q65" s="105"/>
      <c r="R65" s="105"/>
      <c r="S65" s="105"/>
      <c r="T65" s="97"/>
      <c r="U65" s="97" t="s">
        <v>91</v>
      </c>
      <c r="V65" s="105"/>
      <c r="W65" s="105"/>
      <c r="X65" s="105"/>
    </row>
    <row r="66" spans="2:24" ht="90" x14ac:dyDescent="0.25">
      <c r="B66" s="90">
        <v>63</v>
      </c>
      <c r="C66" s="78" t="s">
        <v>370</v>
      </c>
      <c r="D66" s="78" t="s">
        <v>372</v>
      </c>
      <c r="E66" s="97" t="s">
        <v>127</v>
      </c>
      <c r="F66" s="97" t="s">
        <v>74</v>
      </c>
      <c r="G66" s="97" t="s">
        <v>129</v>
      </c>
      <c r="H66" s="97" t="s">
        <v>351</v>
      </c>
      <c r="I66" s="105"/>
      <c r="J66" s="117"/>
      <c r="K66" s="101">
        <v>36.5</v>
      </c>
      <c r="L66" s="105"/>
      <c r="M66" s="97" t="s">
        <v>323</v>
      </c>
      <c r="N66" s="97" t="s">
        <v>371</v>
      </c>
      <c r="O66" s="105"/>
      <c r="P66" s="105"/>
      <c r="Q66" s="105"/>
      <c r="R66" s="105"/>
      <c r="S66" s="105"/>
      <c r="T66" s="97">
        <v>1120004846</v>
      </c>
      <c r="U66" s="97" t="s">
        <v>91</v>
      </c>
      <c r="V66" s="105"/>
      <c r="W66" s="105"/>
      <c r="X66" s="105"/>
    </row>
    <row r="67" spans="2:24" ht="60" x14ac:dyDescent="0.25">
      <c r="B67" s="90">
        <v>64</v>
      </c>
      <c r="C67" s="78" t="s">
        <v>361</v>
      </c>
      <c r="D67" s="121" t="s">
        <v>382</v>
      </c>
      <c r="E67" s="97"/>
      <c r="F67" s="97" t="s">
        <v>81</v>
      </c>
      <c r="G67" s="97" t="s">
        <v>363</v>
      </c>
      <c r="H67" s="97" t="s">
        <v>351</v>
      </c>
      <c r="I67" s="105"/>
      <c r="J67" s="105"/>
      <c r="K67" s="117">
        <v>6.14</v>
      </c>
      <c r="L67" s="105"/>
      <c r="M67" s="105"/>
      <c r="N67" s="97" t="s">
        <v>362</v>
      </c>
      <c r="O67" s="97" t="s">
        <v>277</v>
      </c>
      <c r="P67" s="97" t="s">
        <v>277</v>
      </c>
      <c r="Q67" s="97" t="s">
        <v>277</v>
      </c>
      <c r="R67" s="97" t="s">
        <v>277</v>
      </c>
      <c r="S67" s="102" t="s">
        <v>118</v>
      </c>
      <c r="T67" s="105"/>
      <c r="U67" s="97" t="s">
        <v>91</v>
      </c>
      <c r="V67" s="105"/>
      <c r="W67" s="97" t="s">
        <v>287</v>
      </c>
      <c r="X67" s="105"/>
    </row>
    <row r="68" spans="2:24" ht="45" x14ac:dyDescent="0.25">
      <c r="B68" s="90">
        <v>65</v>
      </c>
      <c r="C68" s="120" t="s">
        <v>365</v>
      </c>
      <c r="D68" s="78" t="s">
        <v>364</v>
      </c>
      <c r="E68" s="97" t="s">
        <v>127</v>
      </c>
      <c r="F68" s="97" t="s">
        <v>74</v>
      </c>
      <c r="G68" s="97" t="s">
        <v>100</v>
      </c>
      <c r="H68" s="97" t="s">
        <v>351</v>
      </c>
      <c r="I68" s="105"/>
      <c r="J68" s="117">
        <v>0.48</v>
      </c>
      <c r="K68" s="124">
        <v>25</v>
      </c>
      <c r="L68" s="105"/>
      <c r="M68" s="105"/>
      <c r="N68" s="105"/>
      <c r="O68" s="97" t="s">
        <v>277</v>
      </c>
      <c r="P68" s="97" t="s">
        <v>277</v>
      </c>
      <c r="Q68" s="97" t="s">
        <v>277</v>
      </c>
      <c r="R68" s="97" t="s">
        <v>277</v>
      </c>
      <c r="S68" s="102" t="s">
        <v>289</v>
      </c>
      <c r="T68" s="105"/>
      <c r="U68" s="97" t="s">
        <v>91</v>
      </c>
      <c r="V68" s="105"/>
      <c r="W68" s="105"/>
      <c r="X68" s="105"/>
    </row>
    <row r="69" spans="2:24" ht="90" x14ac:dyDescent="0.25">
      <c r="B69" s="90">
        <v>66</v>
      </c>
      <c r="C69" s="78" t="s">
        <v>367</v>
      </c>
      <c r="D69" s="78" t="s">
        <v>366</v>
      </c>
      <c r="E69" s="97" t="s">
        <v>127</v>
      </c>
      <c r="F69" s="97" t="s">
        <v>74</v>
      </c>
      <c r="G69" s="98" t="s">
        <v>373</v>
      </c>
      <c r="H69" s="97" t="s">
        <v>351</v>
      </c>
      <c r="I69" s="105"/>
      <c r="J69" s="122">
        <v>3.0000000000000001E-3</v>
      </c>
      <c r="K69" s="101">
        <v>0.25</v>
      </c>
      <c r="L69" s="101">
        <v>0.25</v>
      </c>
      <c r="M69" s="97" t="s">
        <v>368</v>
      </c>
      <c r="N69" s="97" t="s">
        <v>369</v>
      </c>
      <c r="O69" s="97" t="s">
        <v>277</v>
      </c>
      <c r="P69" s="97" t="s">
        <v>277</v>
      </c>
      <c r="Q69" s="97" t="s">
        <v>277</v>
      </c>
      <c r="R69" s="97" t="s">
        <v>277</v>
      </c>
      <c r="S69" s="102" t="s">
        <v>118</v>
      </c>
      <c r="T69" s="105"/>
      <c r="U69" s="97" t="s">
        <v>91</v>
      </c>
      <c r="V69" s="105"/>
      <c r="W69" s="98" t="s">
        <v>450</v>
      </c>
      <c r="X69" s="105"/>
    </row>
    <row r="70" spans="2:24" ht="105" x14ac:dyDescent="0.25">
      <c r="B70" s="90">
        <v>67</v>
      </c>
      <c r="C70" s="78" t="s">
        <v>374</v>
      </c>
      <c r="D70" s="78" t="s">
        <v>375</v>
      </c>
      <c r="E70" s="97"/>
      <c r="F70" s="97" t="s">
        <v>81</v>
      </c>
      <c r="G70" s="97" t="s">
        <v>100</v>
      </c>
      <c r="H70" s="97" t="s">
        <v>304</v>
      </c>
      <c r="I70" s="105"/>
      <c r="J70" s="105"/>
      <c r="K70" s="93">
        <v>2.67</v>
      </c>
      <c r="L70" s="93">
        <v>2.67</v>
      </c>
      <c r="M70" s="105"/>
      <c r="N70" s="97" t="s">
        <v>246</v>
      </c>
      <c r="O70" s="97" t="s">
        <v>277</v>
      </c>
      <c r="P70" s="97" t="s">
        <v>277</v>
      </c>
      <c r="Q70" s="97" t="s">
        <v>277</v>
      </c>
      <c r="R70" s="97" t="s">
        <v>277</v>
      </c>
      <c r="S70" s="102" t="s">
        <v>118</v>
      </c>
      <c r="T70" s="105"/>
      <c r="U70" s="97" t="s">
        <v>91</v>
      </c>
      <c r="V70" s="105"/>
      <c r="W70" s="97" t="s">
        <v>287</v>
      </c>
      <c r="X70" s="105"/>
    </row>
    <row r="71" spans="2:24" ht="60" x14ac:dyDescent="0.25">
      <c r="B71" s="90">
        <v>68</v>
      </c>
      <c r="C71" s="78" t="s">
        <v>376</v>
      </c>
      <c r="D71" s="120" t="s">
        <v>377</v>
      </c>
      <c r="E71" s="97"/>
      <c r="F71" s="97" t="s">
        <v>81</v>
      </c>
      <c r="G71" s="97" t="s">
        <v>100</v>
      </c>
      <c r="H71" s="97" t="s">
        <v>378</v>
      </c>
      <c r="I71" s="105"/>
      <c r="J71" s="105"/>
      <c r="K71" s="101">
        <v>0.5</v>
      </c>
      <c r="L71" s="123">
        <v>0.5</v>
      </c>
      <c r="M71" s="105"/>
      <c r="N71" s="97" t="s">
        <v>246</v>
      </c>
      <c r="O71" s="97" t="s">
        <v>277</v>
      </c>
      <c r="P71" s="97" t="s">
        <v>277</v>
      </c>
      <c r="Q71" s="97" t="s">
        <v>277</v>
      </c>
      <c r="R71" s="97" t="s">
        <v>277</v>
      </c>
      <c r="S71" s="102" t="s">
        <v>118</v>
      </c>
      <c r="T71" s="105"/>
      <c r="U71" s="97" t="s">
        <v>91</v>
      </c>
      <c r="V71" s="105"/>
      <c r="W71" s="97" t="s">
        <v>287</v>
      </c>
      <c r="X71" s="105"/>
    </row>
    <row r="72" spans="2:24" ht="30" x14ac:dyDescent="0.25">
      <c r="B72" s="90">
        <v>69</v>
      </c>
      <c r="C72" s="120" t="s">
        <v>379</v>
      </c>
      <c r="D72" s="77" t="s">
        <v>380</v>
      </c>
      <c r="E72" s="97" t="s">
        <v>127</v>
      </c>
      <c r="F72" s="79" t="s">
        <v>74</v>
      </c>
      <c r="G72" s="105"/>
      <c r="H72" s="97" t="s">
        <v>378</v>
      </c>
      <c r="I72" s="105"/>
      <c r="J72" s="101">
        <v>90</v>
      </c>
      <c r="K72" s="101">
        <v>1.8</v>
      </c>
      <c r="L72" s="105"/>
      <c r="M72" s="97" t="s">
        <v>362</v>
      </c>
      <c r="N72" s="98" t="s">
        <v>381</v>
      </c>
      <c r="O72" s="105"/>
      <c r="P72" s="105"/>
      <c r="Q72" s="105"/>
      <c r="R72" s="105"/>
      <c r="S72" s="105"/>
      <c r="T72" s="97">
        <v>1120004847</v>
      </c>
      <c r="U72" s="97" t="s">
        <v>91</v>
      </c>
      <c r="V72" s="105"/>
      <c r="W72" s="105"/>
      <c r="X72" s="105"/>
    </row>
    <row r="73" spans="2:24" ht="30" x14ac:dyDescent="0.25">
      <c r="B73" s="90">
        <v>70</v>
      </c>
      <c r="C73" s="78" t="s">
        <v>388</v>
      </c>
      <c r="D73" s="78" t="s">
        <v>387</v>
      </c>
      <c r="E73" s="97" t="s">
        <v>127</v>
      </c>
      <c r="F73" s="79" t="s">
        <v>74</v>
      </c>
      <c r="G73" s="105"/>
      <c r="H73" s="105"/>
      <c r="I73" s="105"/>
      <c r="J73" s="105"/>
      <c r="K73" s="117">
        <v>38.450000000000003</v>
      </c>
      <c r="L73" s="105"/>
      <c r="M73" s="97" t="s">
        <v>385</v>
      </c>
      <c r="N73" s="97" t="s">
        <v>386</v>
      </c>
      <c r="O73" s="105"/>
      <c r="P73" s="105"/>
      <c r="Q73" s="105"/>
      <c r="R73" s="105"/>
      <c r="S73" s="105"/>
      <c r="T73" s="97">
        <v>1120004855</v>
      </c>
      <c r="U73" s="97" t="s">
        <v>91</v>
      </c>
      <c r="V73" s="105"/>
      <c r="W73" s="105"/>
      <c r="X73" s="105"/>
    </row>
    <row r="74" spans="2:24" x14ac:dyDescent="0.25">
      <c r="B74" s="90">
        <v>71</v>
      </c>
      <c r="C74" s="77" t="s">
        <v>389</v>
      </c>
      <c r="D74" s="77" t="s">
        <v>390</v>
      </c>
      <c r="E74" s="97" t="s">
        <v>127</v>
      </c>
      <c r="F74" s="79" t="s">
        <v>74</v>
      </c>
      <c r="G74" s="105"/>
      <c r="H74" s="97" t="s">
        <v>378</v>
      </c>
      <c r="I74" s="79" t="s">
        <v>300</v>
      </c>
      <c r="J74" s="123">
        <v>0.5</v>
      </c>
      <c r="K74" s="124">
        <v>25</v>
      </c>
      <c r="L74" s="105"/>
      <c r="M74" s="97" t="s">
        <v>381</v>
      </c>
      <c r="N74" s="97" t="s">
        <v>391</v>
      </c>
      <c r="O74" s="105"/>
      <c r="P74" s="105"/>
      <c r="Q74" s="105"/>
      <c r="R74" s="105"/>
      <c r="S74" s="105"/>
      <c r="T74" s="79">
        <v>1120004861</v>
      </c>
      <c r="U74" s="97" t="s">
        <v>91</v>
      </c>
      <c r="V74" s="105"/>
      <c r="W74" s="105"/>
      <c r="X74" s="105"/>
    </row>
    <row r="75" spans="2:24" ht="90" x14ac:dyDescent="0.25">
      <c r="B75" s="90">
        <v>72</v>
      </c>
      <c r="C75" s="125" t="s">
        <v>392</v>
      </c>
      <c r="D75" s="120" t="s">
        <v>396</v>
      </c>
      <c r="E75" s="97"/>
      <c r="F75" s="97" t="s">
        <v>81</v>
      </c>
      <c r="G75" s="97" t="s">
        <v>87</v>
      </c>
      <c r="H75" s="97" t="s">
        <v>304</v>
      </c>
      <c r="I75" s="105"/>
      <c r="J75" s="105"/>
      <c r="K75" s="124">
        <v>2.12</v>
      </c>
      <c r="L75" s="124">
        <v>2.12</v>
      </c>
      <c r="M75" s="98" t="s">
        <v>471</v>
      </c>
      <c r="N75" s="98" t="s">
        <v>471</v>
      </c>
      <c r="O75" s="97" t="s">
        <v>277</v>
      </c>
      <c r="P75" s="97" t="s">
        <v>277</v>
      </c>
      <c r="Q75" s="97" t="s">
        <v>277</v>
      </c>
      <c r="R75" s="97" t="s">
        <v>277</v>
      </c>
      <c r="S75" s="102" t="s">
        <v>118</v>
      </c>
      <c r="T75" s="105"/>
      <c r="U75" s="97" t="s">
        <v>91</v>
      </c>
      <c r="V75" s="105"/>
      <c r="W75" s="97" t="s">
        <v>287</v>
      </c>
      <c r="X75" s="105"/>
    </row>
    <row r="76" spans="2:24" ht="120" x14ac:dyDescent="0.25">
      <c r="B76" s="90">
        <v>73</v>
      </c>
      <c r="C76" s="125" t="s">
        <v>392</v>
      </c>
      <c r="D76" s="120" t="s">
        <v>406</v>
      </c>
      <c r="E76" s="97"/>
      <c r="F76" s="97" t="s">
        <v>81</v>
      </c>
      <c r="G76" s="97" t="s">
        <v>87</v>
      </c>
      <c r="H76" s="97" t="s">
        <v>304</v>
      </c>
      <c r="I76" s="105"/>
      <c r="J76" s="105"/>
      <c r="K76" s="124">
        <v>0.99</v>
      </c>
      <c r="L76" s="124">
        <v>0.99</v>
      </c>
      <c r="M76" s="97" t="s">
        <v>393</v>
      </c>
      <c r="N76" s="97" t="s">
        <v>393</v>
      </c>
      <c r="O76" s="97" t="s">
        <v>277</v>
      </c>
      <c r="P76" s="97" t="s">
        <v>277</v>
      </c>
      <c r="Q76" s="97" t="s">
        <v>277</v>
      </c>
      <c r="R76" s="97" t="s">
        <v>277</v>
      </c>
      <c r="S76" s="102" t="s">
        <v>118</v>
      </c>
      <c r="T76" s="105"/>
      <c r="U76" s="97" t="s">
        <v>91</v>
      </c>
      <c r="V76" s="105"/>
      <c r="W76" s="97" t="s">
        <v>287</v>
      </c>
      <c r="X76" s="105"/>
    </row>
    <row r="77" spans="2:24" ht="105" x14ac:dyDescent="0.25">
      <c r="B77" s="90">
        <v>74</v>
      </c>
      <c r="C77" s="125" t="s">
        <v>392</v>
      </c>
      <c r="D77" s="120" t="s">
        <v>405</v>
      </c>
      <c r="E77" s="97"/>
      <c r="F77" s="97" t="s">
        <v>81</v>
      </c>
      <c r="G77" s="97" t="s">
        <v>87</v>
      </c>
      <c r="H77" s="97" t="s">
        <v>304</v>
      </c>
      <c r="I77" s="105"/>
      <c r="J77" s="105"/>
      <c r="K77" s="124">
        <v>0.99</v>
      </c>
      <c r="L77" s="124">
        <v>0.99</v>
      </c>
      <c r="M77" s="97" t="s">
        <v>394</v>
      </c>
      <c r="N77" s="97" t="s">
        <v>394</v>
      </c>
      <c r="O77" s="97" t="s">
        <v>277</v>
      </c>
      <c r="P77" s="97" t="s">
        <v>277</v>
      </c>
      <c r="Q77" s="97" t="s">
        <v>277</v>
      </c>
      <c r="R77" s="97" t="s">
        <v>277</v>
      </c>
      <c r="S77" s="102" t="s">
        <v>118</v>
      </c>
      <c r="T77" s="105"/>
      <c r="U77" s="97" t="s">
        <v>91</v>
      </c>
      <c r="V77" s="105"/>
      <c r="W77" s="97" t="s">
        <v>287</v>
      </c>
      <c r="X77" s="105"/>
    </row>
    <row r="78" spans="2:24" ht="105" x14ac:dyDescent="0.25">
      <c r="B78" s="90">
        <v>75</v>
      </c>
      <c r="C78" s="125" t="s">
        <v>392</v>
      </c>
      <c r="D78" s="120" t="s">
        <v>395</v>
      </c>
      <c r="E78" s="97"/>
      <c r="F78" s="97" t="s">
        <v>81</v>
      </c>
      <c r="G78" s="97" t="s">
        <v>87</v>
      </c>
      <c r="H78" s="97" t="s">
        <v>304</v>
      </c>
      <c r="I78" s="105"/>
      <c r="J78" s="105"/>
      <c r="K78" s="124">
        <v>0.99</v>
      </c>
      <c r="L78" s="124">
        <v>0.99</v>
      </c>
      <c r="M78" s="97" t="s">
        <v>394</v>
      </c>
      <c r="N78" s="97" t="s">
        <v>394</v>
      </c>
      <c r="O78" s="97" t="s">
        <v>277</v>
      </c>
      <c r="P78" s="97" t="s">
        <v>277</v>
      </c>
      <c r="Q78" s="97" t="s">
        <v>277</v>
      </c>
      <c r="R78" s="97" t="s">
        <v>277</v>
      </c>
      <c r="S78" s="102" t="s">
        <v>118</v>
      </c>
      <c r="T78" s="105"/>
      <c r="U78" s="97" t="s">
        <v>91</v>
      </c>
      <c r="V78" s="105"/>
      <c r="W78" s="97" t="s">
        <v>287</v>
      </c>
      <c r="X78" s="105"/>
    </row>
    <row r="79" spans="2:24" ht="90" x14ac:dyDescent="0.25">
      <c r="B79" s="90">
        <v>76</v>
      </c>
      <c r="C79" s="125" t="s">
        <v>392</v>
      </c>
      <c r="D79" s="120" t="s">
        <v>397</v>
      </c>
      <c r="E79" s="97"/>
      <c r="F79" s="97" t="s">
        <v>81</v>
      </c>
      <c r="G79" s="97" t="s">
        <v>87</v>
      </c>
      <c r="H79" s="97" t="s">
        <v>304</v>
      </c>
      <c r="I79" s="105"/>
      <c r="J79" s="105"/>
      <c r="K79" s="124">
        <v>0.99</v>
      </c>
      <c r="L79" s="124">
        <v>0.99</v>
      </c>
      <c r="M79" s="97" t="s">
        <v>398</v>
      </c>
      <c r="N79" s="97" t="s">
        <v>398</v>
      </c>
      <c r="O79" s="97" t="s">
        <v>277</v>
      </c>
      <c r="P79" s="97" t="s">
        <v>277</v>
      </c>
      <c r="Q79" s="97" t="s">
        <v>277</v>
      </c>
      <c r="R79" s="97" t="s">
        <v>277</v>
      </c>
      <c r="S79" s="102" t="s">
        <v>118</v>
      </c>
      <c r="T79" s="105"/>
      <c r="U79" s="97" t="s">
        <v>91</v>
      </c>
      <c r="V79" s="105"/>
      <c r="W79" s="97" t="s">
        <v>287</v>
      </c>
      <c r="X79" s="105"/>
    </row>
    <row r="80" spans="2:24" ht="105" x14ac:dyDescent="0.25">
      <c r="B80" s="90">
        <v>77</v>
      </c>
      <c r="C80" s="78" t="s">
        <v>399</v>
      </c>
      <c r="D80" s="121" t="s">
        <v>400</v>
      </c>
      <c r="E80" s="97"/>
      <c r="F80" s="97" t="s">
        <v>81</v>
      </c>
      <c r="G80" s="97" t="s">
        <v>87</v>
      </c>
      <c r="H80" s="97" t="s">
        <v>304</v>
      </c>
      <c r="I80" s="105"/>
      <c r="J80" s="105"/>
      <c r="K80" s="124">
        <v>0.99</v>
      </c>
      <c r="L80" s="124">
        <v>0.99</v>
      </c>
      <c r="M80" s="97" t="s">
        <v>401</v>
      </c>
      <c r="N80" s="97" t="s">
        <v>401</v>
      </c>
      <c r="O80" s="97" t="s">
        <v>277</v>
      </c>
      <c r="P80" s="97" t="s">
        <v>277</v>
      </c>
      <c r="Q80" s="97" t="s">
        <v>277</v>
      </c>
      <c r="R80" s="97" t="s">
        <v>277</v>
      </c>
      <c r="S80" s="102" t="s">
        <v>118</v>
      </c>
      <c r="T80" s="105"/>
      <c r="U80" s="97" t="s">
        <v>91</v>
      </c>
      <c r="V80" s="105"/>
      <c r="W80" s="97" t="s">
        <v>287</v>
      </c>
      <c r="X80" s="105"/>
    </row>
    <row r="81" spans="2:24" ht="75" x14ac:dyDescent="0.25">
      <c r="B81" s="90">
        <v>78</v>
      </c>
      <c r="C81" s="78" t="s">
        <v>407</v>
      </c>
      <c r="D81" s="121" t="s">
        <v>403</v>
      </c>
      <c r="E81" s="97"/>
      <c r="F81" s="97" t="s">
        <v>81</v>
      </c>
      <c r="G81" s="97" t="s">
        <v>100</v>
      </c>
      <c r="H81" s="97" t="s">
        <v>304</v>
      </c>
      <c r="I81" s="97"/>
      <c r="J81" s="105"/>
      <c r="K81" s="124">
        <v>0.56000000000000005</v>
      </c>
      <c r="L81" s="124">
        <v>0.56000000000000005</v>
      </c>
      <c r="M81" s="97" t="s">
        <v>404</v>
      </c>
      <c r="N81" s="97" t="s">
        <v>404</v>
      </c>
      <c r="O81" s="97" t="s">
        <v>277</v>
      </c>
      <c r="P81" s="97" t="s">
        <v>277</v>
      </c>
      <c r="Q81" s="97" t="s">
        <v>277</v>
      </c>
      <c r="R81" s="97" t="s">
        <v>277</v>
      </c>
      <c r="S81" s="102" t="s">
        <v>118</v>
      </c>
      <c r="T81" s="105"/>
      <c r="U81" s="97" t="s">
        <v>91</v>
      </c>
      <c r="V81" s="105"/>
      <c r="W81" s="97" t="s">
        <v>287</v>
      </c>
      <c r="X81" s="105"/>
    </row>
    <row r="82" spans="2:24" ht="90" x14ac:dyDescent="0.25">
      <c r="B82" s="90">
        <v>79</v>
      </c>
      <c r="C82" s="78" t="s">
        <v>408</v>
      </c>
      <c r="D82" s="121" t="s">
        <v>409</v>
      </c>
      <c r="E82" s="97"/>
      <c r="F82" s="97" t="s">
        <v>81</v>
      </c>
      <c r="G82" s="97" t="s">
        <v>100</v>
      </c>
      <c r="H82" s="97" t="s">
        <v>304</v>
      </c>
      <c r="I82" s="105"/>
      <c r="J82" s="105"/>
      <c r="K82" s="124">
        <v>0.5</v>
      </c>
      <c r="L82" s="124">
        <v>0.5</v>
      </c>
      <c r="M82" s="98" t="s">
        <v>482</v>
      </c>
      <c r="N82" s="98" t="s">
        <v>482</v>
      </c>
      <c r="O82" s="97" t="s">
        <v>277</v>
      </c>
      <c r="P82" s="97" t="s">
        <v>277</v>
      </c>
      <c r="Q82" s="97" t="s">
        <v>277</v>
      </c>
      <c r="R82" s="97" t="s">
        <v>277</v>
      </c>
      <c r="S82" s="102" t="s">
        <v>118</v>
      </c>
      <c r="T82" s="105"/>
      <c r="U82" s="97" t="s">
        <v>91</v>
      </c>
      <c r="V82" s="105"/>
      <c r="W82" s="97" t="s">
        <v>287</v>
      </c>
      <c r="X82" s="105"/>
    </row>
    <row r="83" spans="2:24" ht="45" x14ac:dyDescent="0.25">
      <c r="B83" s="90">
        <v>80</v>
      </c>
      <c r="C83" s="111" t="s">
        <v>410</v>
      </c>
      <c r="D83" s="120" t="s">
        <v>430</v>
      </c>
      <c r="E83" s="105"/>
      <c r="F83" s="97" t="s">
        <v>81</v>
      </c>
      <c r="G83" s="97" t="s">
        <v>87</v>
      </c>
      <c r="H83" s="97" t="s">
        <v>304</v>
      </c>
      <c r="I83" s="105"/>
      <c r="J83" s="105"/>
      <c r="K83" s="117">
        <v>0.99</v>
      </c>
      <c r="L83" s="117">
        <v>0.99</v>
      </c>
      <c r="M83" s="97" t="s">
        <v>343</v>
      </c>
      <c r="N83" s="97" t="s">
        <v>343</v>
      </c>
      <c r="O83" s="97" t="s">
        <v>277</v>
      </c>
      <c r="P83" s="97" t="s">
        <v>277</v>
      </c>
      <c r="Q83" s="97" t="s">
        <v>277</v>
      </c>
      <c r="R83" s="97" t="s">
        <v>277</v>
      </c>
      <c r="S83" s="102" t="s">
        <v>118</v>
      </c>
      <c r="T83" s="105"/>
      <c r="U83" s="97" t="s">
        <v>91</v>
      </c>
      <c r="V83" s="105"/>
      <c r="W83" s="97" t="s">
        <v>287</v>
      </c>
      <c r="X83" s="105"/>
    </row>
    <row r="84" spans="2:24" ht="75" x14ac:dyDescent="0.25">
      <c r="B84" s="90">
        <v>81</v>
      </c>
      <c r="C84" s="111" t="s">
        <v>411</v>
      </c>
      <c r="D84" s="120" t="s">
        <v>441</v>
      </c>
      <c r="E84" s="105"/>
      <c r="F84" s="97" t="s">
        <v>81</v>
      </c>
      <c r="G84" s="97" t="s">
        <v>87</v>
      </c>
      <c r="H84" s="97" t="s">
        <v>304</v>
      </c>
      <c r="I84" s="105"/>
      <c r="J84" s="105"/>
      <c r="K84" s="117">
        <v>0.99</v>
      </c>
      <c r="L84" s="117">
        <v>0.99</v>
      </c>
      <c r="M84" s="97" t="s">
        <v>343</v>
      </c>
      <c r="N84" s="97" t="s">
        <v>343</v>
      </c>
      <c r="O84" s="97" t="s">
        <v>277</v>
      </c>
      <c r="P84" s="97" t="s">
        <v>277</v>
      </c>
      <c r="Q84" s="97" t="s">
        <v>277</v>
      </c>
      <c r="R84" s="97" t="s">
        <v>277</v>
      </c>
      <c r="S84" s="102" t="s">
        <v>118</v>
      </c>
      <c r="T84" s="105"/>
      <c r="U84" s="97" t="s">
        <v>91</v>
      </c>
      <c r="V84" s="105"/>
      <c r="W84" s="97" t="s">
        <v>287</v>
      </c>
      <c r="X84" s="105"/>
    </row>
    <row r="85" spans="2:24" ht="60" x14ac:dyDescent="0.25">
      <c r="B85" s="90">
        <v>82</v>
      </c>
      <c r="C85" s="111" t="s">
        <v>412</v>
      </c>
      <c r="D85" s="120" t="s">
        <v>440</v>
      </c>
      <c r="E85" s="105"/>
      <c r="F85" s="97" t="s">
        <v>81</v>
      </c>
      <c r="G85" s="97" t="s">
        <v>87</v>
      </c>
      <c r="H85" s="97" t="s">
        <v>304</v>
      </c>
      <c r="I85" s="105"/>
      <c r="J85" s="105"/>
      <c r="K85" s="117">
        <v>0.99</v>
      </c>
      <c r="L85" s="117">
        <v>0.99</v>
      </c>
      <c r="M85" s="97" t="s">
        <v>343</v>
      </c>
      <c r="N85" s="97" t="s">
        <v>343</v>
      </c>
      <c r="O85" s="97" t="s">
        <v>277</v>
      </c>
      <c r="P85" s="97" t="s">
        <v>277</v>
      </c>
      <c r="Q85" s="97" t="s">
        <v>277</v>
      </c>
      <c r="R85" s="97" t="s">
        <v>277</v>
      </c>
      <c r="S85" s="102" t="s">
        <v>118</v>
      </c>
      <c r="T85" s="105"/>
      <c r="U85" s="97" t="s">
        <v>91</v>
      </c>
      <c r="V85" s="105"/>
      <c r="W85" s="97" t="s">
        <v>287</v>
      </c>
      <c r="X85" s="105"/>
    </row>
    <row r="86" spans="2:24" ht="45" x14ac:dyDescent="0.25">
      <c r="B86" s="90">
        <v>83</v>
      </c>
      <c r="C86" s="111" t="s">
        <v>413</v>
      </c>
      <c r="D86" s="120" t="s">
        <v>439</v>
      </c>
      <c r="E86" s="105"/>
      <c r="F86" s="97" t="s">
        <v>81</v>
      </c>
      <c r="G86" s="97" t="s">
        <v>87</v>
      </c>
      <c r="H86" s="97" t="s">
        <v>304</v>
      </c>
      <c r="I86" s="105"/>
      <c r="J86" s="105"/>
      <c r="K86" s="117">
        <v>0.99</v>
      </c>
      <c r="L86" s="117">
        <v>0.99</v>
      </c>
      <c r="M86" s="97" t="s">
        <v>343</v>
      </c>
      <c r="N86" s="97" t="s">
        <v>343</v>
      </c>
      <c r="O86" s="97" t="s">
        <v>277</v>
      </c>
      <c r="P86" s="97" t="s">
        <v>277</v>
      </c>
      <c r="Q86" s="97" t="s">
        <v>277</v>
      </c>
      <c r="R86" s="97" t="s">
        <v>277</v>
      </c>
      <c r="S86" s="102" t="s">
        <v>118</v>
      </c>
      <c r="T86" s="105"/>
      <c r="U86" s="97" t="s">
        <v>91</v>
      </c>
      <c r="V86" s="105"/>
      <c r="W86" s="97" t="s">
        <v>287</v>
      </c>
      <c r="X86" s="105"/>
    </row>
    <row r="87" spans="2:24" ht="45" x14ac:dyDescent="0.25">
      <c r="B87" s="90">
        <v>84</v>
      </c>
      <c r="C87" s="111" t="s">
        <v>414</v>
      </c>
      <c r="D87" s="120" t="s">
        <v>442</v>
      </c>
      <c r="E87" s="105"/>
      <c r="F87" s="97" t="s">
        <v>81</v>
      </c>
      <c r="G87" s="97" t="s">
        <v>87</v>
      </c>
      <c r="H87" s="97" t="s">
        <v>304</v>
      </c>
      <c r="I87" s="105"/>
      <c r="J87" s="105"/>
      <c r="K87" s="117">
        <v>0.99</v>
      </c>
      <c r="L87" s="117">
        <v>0.99</v>
      </c>
      <c r="M87" s="97" t="s">
        <v>343</v>
      </c>
      <c r="N87" s="97" t="s">
        <v>343</v>
      </c>
      <c r="O87" s="97" t="s">
        <v>277</v>
      </c>
      <c r="P87" s="97" t="s">
        <v>277</v>
      </c>
      <c r="Q87" s="97" t="s">
        <v>277</v>
      </c>
      <c r="R87" s="97" t="s">
        <v>277</v>
      </c>
      <c r="S87" s="102" t="s">
        <v>118</v>
      </c>
      <c r="T87" s="105"/>
      <c r="U87" s="97" t="s">
        <v>91</v>
      </c>
      <c r="V87" s="105"/>
      <c r="W87" s="97" t="s">
        <v>287</v>
      </c>
      <c r="X87" s="105"/>
    </row>
    <row r="88" spans="2:24" ht="45" x14ac:dyDescent="0.25">
      <c r="B88" s="90">
        <v>85</v>
      </c>
      <c r="C88" s="111" t="s">
        <v>415</v>
      </c>
      <c r="D88" s="120" t="s">
        <v>443</v>
      </c>
      <c r="E88" s="105"/>
      <c r="F88" s="97" t="s">
        <v>81</v>
      </c>
      <c r="G88" s="97" t="s">
        <v>87</v>
      </c>
      <c r="H88" s="97" t="s">
        <v>304</v>
      </c>
      <c r="I88" s="105"/>
      <c r="J88" s="105"/>
      <c r="K88" s="117">
        <v>0.99</v>
      </c>
      <c r="L88" s="117">
        <v>0.99</v>
      </c>
      <c r="M88" s="97" t="s">
        <v>343</v>
      </c>
      <c r="N88" s="97" t="s">
        <v>343</v>
      </c>
      <c r="O88" s="97" t="s">
        <v>277</v>
      </c>
      <c r="P88" s="97" t="s">
        <v>277</v>
      </c>
      <c r="Q88" s="97" t="s">
        <v>277</v>
      </c>
      <c r="R88" s="97" t="s">
        <v>277</v>
      </c>
      <c r="S88" s="102" t="s">
        <v>118</v>
      </c>
      <c r="T88" s="105"/>
      <c r="U88" s="97" t="s">
        <v>91</v>
      </c>
      <c r="V88" s="105"/>
      <c r="W88" s="97" t="s">
        <v>287</v>
      </c>
      <c r="X88" s="105"/>
    </row>
    <row r="89" spans="2:24" ht="60" x14ac:dyDescent="0.25">
      <c r="B89" s="90">
        <v>86</v>
      </c>
      <c r="C89" s="91" t="s">
        <v>416</v>
      </c>
      <c r="D89" s="120" t="s">
        <v>434</v>
      </c>
      <c r="E89" s="105"/>
      <c r="F89" s="97" t="s">
        <v>81</v>
      </c>
      <c r="G89" s="97" t="s">
        <v>87</v>
      </c>
      <c r="H89" s="97" t="s">
        <v>304</v>
      </c>
      <c r="I89" s="105"/>
      <c r="J89" s="105"/>
      <c r="K89" s="117">
        <v>0.99</v>
      </c>
      <c r="L89" s="117">
        <v>0.99</v>
      </c>
      <c r="M89" s="97" t="s">
        <v>359</v>
      </c>
      <c r="N89" s="97" t="s">
        <v>359</v>
      </c>
      <c r="O89" s="97" t="s">
        <v>277</v>
      </c>
      <c r="P89" s="97" t="s">
        <v>277</v>
      </c>
      <c r="Q89" s="97" t="s">
        <v>277</v>
      </c>
      <c r="R89" s="97" t="s">
        <v>277</v>
      </c>
      <c r="S89" s="102" t="s">
        <v>118</v>
      </c>
      <c r="T89" s="105"/>
      <c r="U89" s="97" t="s">
        <v>91</v>
      </c>
      <c r="V89" s="105"/>
      <c r="W89" s="97" t="s">
        <v>287</v>
      </c>
      <c r="X89" s="105"/>
    </row>
    <row r="90" spans="2:24" ht="105" x14ac:dyDescent="0.25">
      <c r="B90" s="90">
        <v>87</v>
      </c>
      <c r="C90" s="91" t="s">
        <v>427</v>
      </c>
      <c r="D90" s="120" t="s">
        <v>435</v>
      </c>
      <c r="E90" s="105"/>
      <c r="F90" s="97" t="s">
        <v>81</v>
      </c>
      <c r="G90" s="97" t="s">
        <v>87</v>
      </c>
      <c r="H90" s="97" t="s">
        <v>304</v>
      </c>
      <c r="I90" s="105"/>
      <c r="J90" s="105"/>
      <c r="K90" s="117">
        <v>0.99</v>
      </c>
      <c r="L90" s="117">
        <v>0.99</v>
      </c>
      <c r="M90" s="97" t="s">
        <v>359</v>
      </c>
      <c r="N90" s="97" t="s">
        <v>359</v>
      </c>
      <c r="O90" s="97" t="s">
        <v>277</v>
      </c>
      <c r="P90" s="97" t="s">
        <v>277</v>
      </c>
      <c r="Q90" s="97" t="s">
        <v>277</v>
      </c>
      <c r="R90" s="97" t="s">
        <v>277</v>
      </c>
      <c r="S90" s="102" t="s">
        <v>118</v>
      </c>
      <c r="T90" s="105"/>
      <c r="U90" s="97" t="s">
        <v>91</v>
      </c>
      <c r="V90" s="105"/>
      <c r="W90" s="97" t="s">
        <v>287</v>
      </c>
      <c r="X90" s="105"/>
    </row>
    <row r="91" spans="2:24" ht="90" x14ac:dyDescent="0.25">
      <c r="B91" s="90">
        <v>88</v>
      </c>
      <c r="C91" s="91" t="s">
        <v>417</v>
      </c>
      <c r="D91" s="120" t="s">
        <v>436</v>
      </c>
      <c r="E91" s="105"/>
      <c r="F91" s="97" t="s">
        <v>81</v>
      </c>
      <c r="G91" s="97" t="s">
        <v>87</v>
      </c>
      <c r="H91" s="97" t="s">
        <v>304</v>
      </c>
      <c r="I91" s="105"/>
      <c r="J91" s="105"/>
      <c r="K91" s="117">
        <v>0.99</v>
      </c>
      <c r="L91" s="117">
        <v>0.99</v>
      </c>
      <c r="M91" s="97" t="s">
        <v>359</v>
      </c>
      <c r="N91" s="97" t="s">
        <v>359</v>
      </c>
      <c r="O91" s="97" t="s">
        <v>277</v>
      </c>
      <c r="P91" s="97" t="s">
        <v>277</v>
      </c>
      <c r="Q91" s="97" t="s">
        <v>277</v>
      </c>
      <c r="R91" s="97" t="s">
        <v>277</v>
      </c>
      <c r="S91" s="102" t="s">
        <v>118</v>
      </c>
      <c r="T91" s="105"/>
      <c r="U91" s="97" t="s">
        <v>91</v>
      </c>
      <c r="V91" s="105"/>
      <c r="W91" s="97" t="s">
        <v>287</v>
      </c>
      <c r="X91" s="105"/>
    </row>
    <row r="92" spans="2:24" ht="90" x14ac:dyDescent="0.25">
      <c r="B92" s="90">
        <v>89</v>
      </c>
      <c r="C92" s="111" t="s">
        <v>418</v>
      </c>
      <c r="D92" s="120" t="s">
        <v>437</v>
      </c>
      <c r="E92" s="105"/>
      <c r="F92" s="97" t="s">
        <v>81</v>
      </c>
      <c r="G92" s="97" t="s">
        <v>87</v>
      </c>
      <c r="H92" s="97" t="s">
        <v>304</v>
      </c>
      <c r="I92" s="105"/>
      <c r="J92" s="105"/>
      <c r="K92" s="117">
        <v>0.99</v>
      </c>
      <c r="L92" s="117">
        <v>0.99</v>
      </c>
      <c r="M92" s="97" t="s">
        <v>359</v>
      </c>
      <c r="N92" s="97" t="s">
        <v>359</v>
      </c>
      <c r="O92" s="97" t="s">
        <v>277</v>
      </c>
      <c r="P92" s="97" t="s">
        <v>277</v>
      </c>
      <c r="Q92" s="97" t="s">
        <v>277</v>
      </c>
      <c r="R92" s="97" t="s">
        <v>277</v>
      </c>
      <c r="S92" s="102" t="s">
        <v>118</v>
      </c>
      <c r="T92" s="105"/>
      <c r="U92" s="97" t="s">
        <v>91</v>
      </c>
      <c r="V92" s="105"/>
      <c r="W92" s="97" t="s">
        <v>287</v>
      </c>
      <c r="X92" s="105"/>
    </row>
    <row r="93" spans="2:24" ht="45" x14ac:dyDescent="0.25">
      <c r="B93" s="90">
        <v>90</v>
      </c>
      <c r="C93" s="111" t="s">
        <v>467</v>
      </c>
      <c r="D93" s="120" t="s">
        <v>438</v>
      </c>
      <c r="E93" s="105"/>
      <c r="F93" s="97" t="s">
        <v>81</v>
      </c>
      <c r="G93" s="97" t="s">
        <v>87</v>
      </c>
      <c r="H93" s="97" t="s">
        <v>304</v>
      </c>
      <c r="I93" s="105"/>
      <c r="J93" s="105"/>
      <c r="K93" s="117">
        <v>0.99</v>
      </c>
      <c r="L93" s="117">
        <v>0.99</v>
      </c>
      <c r="M93" s="97" t="s">
        <v>422</v>
      </c>
      <c r="N93" s="97" t="s">
        <v>422</v>
      </c>
      <c r="O93" s="97" t="s">
        <v>277</v>
      </c>
      <c r="P93" s="97" t="s">
        <v>277</v>
      </c>
      <c r="Q93" s="97" t="s">
        <v>277</v>
      </c>
      <c r="R93" s="97" t="s">
        <v>277</v>
      </c>
      <c r="S93" s="102" t="s">
        <v>118</v>
      </c>
      <c r="T93" s="105"/>
      <c r="U93" s="97" t="s">
        <v>91</v>
      </c>
      <c r="V93" s="105"/>
      <c r="W93" s="97" t="s">
        <v>287</v>
      </c>
      <c r="X93" s="105"/>
    </row>
    <row r="94" spans="2:24" ht="75" x14ac:dyDescent="0.25">
      <c r="B94" s="90">
        <v>91</v>
      </c>
      <c r="C94" s="111" t="s">
        <v>419</v>
      </c>
      <c r="D94" s="120" t="s">
        <v>433</v>
      </c>
      <c r="E94" s="105"/>
      <c r="F94" s="97" t="s">
        <v>81</v>
      </c>
      <c r="G94" s="97" t="s">
        <v>87</v>
      </c>
      <c r="H94" s="97" t="s">
        <v>304</v>
      </c>
      <c r="I94" s="105"/>
      <c r="J94" s="105"/>
      <c r="K94" s="117">
        <v>0.99</v>
      </c>
      <c r="L94" s="117">
        <v>0.99</v>
      </c>
      <c r="M94" s="97" t="s">
        <v>422</v>
      </c>
      <c r="N94" s="97" t="s">
        <v>422</v>
      </c>
      <c r="O94" s="97" t="s">
        <v>277</v>
      </c>
      <c r="P94" s="97" t="s">
        <v>277</v>
      </c>
      <c r="Q94" s="97" t="s">
        <v>277</v>
      </c>
      <c r="R94" s="97" t="s">
        <v>277</v>
      </c>
      <c r="S94" s="102" t="s">
        <v>118</v>
      </c>
      <c r="T94" s="105"/>
      <c r="U94" s="97" t="s">
        <v>91</v>
      </c>
      <c r="V94" s="105"/>
      <c r="W94" s="97" t="s">
        <v>287</v>
      </c>
      <c r="X94" s="105"/>
    </row>
    <row r="95" spans="2:24" ht="60" x14ac:dyDescent="0.25">
      <c r="B95" s="90">
        <v>92</v>
      </c>
      <c r="C95" s="111" t="s">
        <v>420</v>
      </c>
      <c r="D95" s="120" t="s">
        <v>432</v>
      </c>
      <c r="E95" s="105"/>
      <c r="F95" s="97" t="s">
        <v>81</v>
      </c>
      <c r="G95" s="97" t="s">
        <v>87</v>
      </c>
      <c r="H95" s="97" t="s">
        <v>304</v>
      </c>
      <c r="I95" s="105"/>
      <c r="J95" s="105"/>
      <c r="K95" s="117">
        <v>0.99</v>
      </c>
      <c r="L95" s="117">
        <v>0.99</v>
      </c>
      <c r="M95" s="97" t="s">
        <v>422</v>
      </c>
      <c r="N95" s="97" t="s">
        <v>422</v>
      </c>
      <c r="O95" s="97" t="s">
        <v>277</v>
      </c>
      <c r="P95" s="97" t="s">
        <v>277</v>
      </c>
      <c r="Q95" s="97" t="s">
        <v>277</v>
      </c>
      <c r="R95" s="97" t="s">
        <v>277</v>
      </c>
      <c r="S95" s="102" t="s">
        <v>118</v>
      </c>
      <c r="T95" s="105"/>
      <c r="U95" s="97" t="s">
        <v>91</v>
      </c>
      <c r="V95" s="105"/>
      <c r="W95" s="97" t="s">
        <v>287</v>
      </c>
      <c r="X95" s="105"/>
    </row>
    <row r="96" spans="2:24" ht="60" x14ac:dyDescent="0.25">
      <c r="B96" s="90">
        <v>93</v>
      </c>
      <c r="C96" s="111" t="s">
        <v>421</v>
      </c>
      <c r="D96" s="120" t="s">
        <v>431</v>
      </c>
      <c r="E96" s="105"/>
      <c r="F96" s="97" t="s">
        <v>81</v>
      </c>
      <c r="G96" s="97" t="s">
        <v>87</v>
      </c>
      <c r="H96" s="97" t="s">
        <v>304</v>
      </c>
      <c r="I96" s="105"/>
      <c r="J96" s="105"/>
      <c r="K96" s="117">
        <v>0.99</v>
      </c>
      <c r="L96" s="117">
        <v>0.99</v>
      </c>
      <c r="M96" s="97" t="s">
        <v>422</v>
      </c>
      <c r="N96" s="97" t="s">
        <v>422</v>
      </c>
      <c r="O96" s="97" t="s">
        <v>277</v>
      </c>
      <c r="P96" s="97" t="s">
        <v>277</v>
      </c>
      <c r="Q96" s="97" t="s">
        <v>277</v>
      </c>
      <c r="R96" s="97" t="s">
        <v>277</v>
      </c>
      <c r="S96" s="102" t="s">
        <v>118</v>
      </c>
      <c r="T96" s="105"/>
      <c r="U96" s="97" t="s">
        <v>91</v>
      </c>
      <c r="V96" s="105"/>
      <c r="W96" s="97" t="s">
        <v>287</v>
      </c>
      <c r="X96" s="105"/>
    </row>
    <row r="97" spans="2:24" ht="60" x14ac:dyDescent="0.25">
      <c r="B97" s="90">
        <v>94</v>
      </c>
      <c r="C97" s="78" t="s">
        <v>429</v>
      </c>
      <c r="D97" s="78" t="s">
        <v>428</v>
      </c>
      <c r="E97" s="97" t="s">
        <v>127</v>
      </c>
      <c r="F97" s="97" t="s">
        <v>74</v>
      </c>
      <c r="G97" s="105"/>
      <c r="H97" s="97" t="s">
        <v>378</v>
      </c>
      <c r="I97" s="97" t="s">
        <v>424</v>
      </c>
      <c r="J97" s="117">
        <v>0.08</v>
      </c>
      <c r="K97" s="124">
        <v>4.4000000000000004</v>
      </c>
      <c r="L97" s="117"/>
      <c r="M97" s="97" t="s">
        <v>426</v>
      </c>
      <c r="N97" s="97" t="s">
        <v>425</v>
      </c>
      <c r="O97" s="105"/>
      <c r="P97" s="105"/>
      <c r="Q97" s="105"/>
      <c r="R97" s="105"/>
      <c r="S97" s="105"/>
      <c r="T97" s="105"/>
      <c r="U97" s="97" t="s">
        <v>91</v>
      </c>
      <c r="V97" s="105"/>
      <c r="W97" s="105"/>
      <c r="X97" s="105"/>
    </row>
    <row r="98" spans="2:24" x14ac:dyDescent="0.25">
      <c r="B98" s="90">
        <v>95</v>
      </c>
      <c r="C98" s="77" t="s">
        <v>444</v>
      </c>
      <c r="D98" s="77" t="s">
        <v>445</v>
      </c>
      <c r="E98" s="97" t="s">
        <v>127</v>
      </c>
      <c r="F98" s="97" t="s">
        <v>74</v>
      </c>
      <c r="G98" s="79" t="s">
        <v>129</v>
      </c>
      <c r="H98" s="97" t="s">
        <v>378</v>
      </c>
      <c r="I98" s="105"/>
      <c r="J98" s="105"/>
      <c r="K98" s="124">
        <v>20</v>
      </c>
      <c r="L98" s="105"/>
      <c r="M98" s="98" t="s">
        <v>447</v>
      </c>
      <c r="N98" s="97" t="s">
        <v>446</v>
      </c>
      <c r="O98" s="105"/>
      <c r="P98" s="105"/>
      <c r="Q98" s="105"/>
      <c r="R98" s="105"/>
      <c r="S98" s="105"/>
      <c r="T98" s="97">
        <v>1120004866</v>
      </c>
      <c r="U98" s="97" t="s">
        <v>91</v>
      </c>
      <c r="V98" s="105"/>
      <c r="W98" s="105"/>
      <c r="X98" s="105"/>
    </row>
    <row r="99" spans="2:24" ht="30" x14ac:dyDescent="0.25">
      <c r="B99" s="90">
        <v>96</v>
      </c>
      <c r="C99" s="120" t="s">
        <v>451</v>
      </c>
      <c r="D99" s="120" t="s">
        <v>452</v>
      </c>
      <c r="E99" s="105"/>
      <c r="F99" s="97" t="s">
        <v>81</v>
      </c>
      <c r="H99" s="97" t="s">
        <v>304</v>
      </c>
      <c r="I99" s="97" t="s">
        <v>424</v>
      </c>
      <c r="K99" s="93">
        <v>27.48</v>
      </c>
      <c r="L99" s="93">
        <v>27.48</v>
      </c>
      <c r="M99" s="105"/>
      <c r="N99" s="98" t="s">
        <v>453</v>
      </c>
      <c r="O99" s="97" t="s">
        <v>277</v>
      </c>
      <c r="P99" s="97" t="s">
        <v>277</v>
      </c>
      <c r="Q99" s="97" t="s">
        <v>277</v>
      </c>
      <c r="R99" s="97" t="s">
        <v>277</v>
      </c>
      <c r="S99" s="102" t="s">
        <v>118</v>
      </c>
      <c r="T99" s="105"/>
      <c r="U99" s="105"/>
      <c r="V99" s="105"/>
      <c r="W99" s="97" t="s">
        <v>287</v>
      </c>
      <c r="X99" s="105"/>
    </row>
    <row r="100" spans="2:24" x14ac:dyDescent="0.25">
      <c r="B100" s="90">
        <v>97</v>
      </c>
      <c r="C100" s="105" t="s">
        <v>454</v>
      </c>
      <c r="D100" s="105" t="s">
        <v>455</v>
      </c>
      <c r="E100" s="105"/>
      <c r="F100" s="97" t="s">
        <v>81</v>
      </c>
      <c r="G100" s="79" t="s">
        <v>116</v>
      </c>
      <c r="H100" s="105"/>
      <c r="I100" s="97" t="s">
        <v>424</v>
      </c>
      <c r="J100" s="105"/>
      <c r="K100" s="105"/>
      <c r="L100" s="105"/>
      <c r="M100" s="105"/>
      <c r="N100" s="97" t="s">
        <v>391</v>
      </c>
      <c r="O100" s="97" t="s">
        <v>277</v>
      </c>
      <c r="P100" s="97" t="s">
        <v>277</v>
      </c>
      <c r="Q100" s="97" t="s">
        <v>277</v>
      </c>
      <c r="R100" s="97" t="s">
        <v>277</v>
      </c>
      <c r="S100" s="105"/>
      <c r="T100" s="105"/>
      <c r="U100" s="105"/>
      <c r="V100" s="105"/>
      <c r="W100" s="105"/>
      <c r="X100" s="105"/>
    </row>
    <row r="101" spans="2:24" ht="30" x14ac:dyDescent="0.25">
      <c r="B101" s="90">
        <v>98</v>
      </c>
      <c r="C101" s="120" t="s">
        <v>456</v>
      </c>
      <c r="D101" s="77" t="s">
        <v>457</v>
      </c>
      <c r="E101" s="97" t="s">
        <v>78</v>
      </c>
      <c r="F101" s="79" t="s">
        <v>458</v>
      </c>
      <c r="G101" s="97" t="s">
        <v>174</v>
      </c>
      <c r="H101" s="97" t="s">
        <v>304</v>
      </c>
      <c r="I101" s="105"/>
      <c r="K101" s="129">
        <v>70</v>
      </c>
      <c r="L101" s="105"/>
      <c r="M101" s="79" t="s">
        <v>391</v>
      </c>
      <c r="N101" s="79" t="s">
        <v>459</v>
      </c>
      <c r="O101" s="97" t="s">
        <v>277</v>
      </c>
      <c r="P101" s="97" t="s">
        <v>277</v>
      </c>
      <c r="Q101" s="97" t="s">
        <v>277</v>
      </c>
      <c r="R101" s="97" t="s">
        <v>277</v>
      </c>
      <c r="S101" s="105"/>
      <c r="T101" s="105"/>
      <c r="U101" s="97" t="s">
        <v>91</v>
      </c>
      <c r="V101" s="105"/>
      <c r="W101" s="105"/>
      <c r="X101" s="105"/>
    </row>
    <row r="102" spans="2:24" ht="105" x14ac:dyDescent="0.25">
      <c r="B102" s="79">
        <v>99</v>
      </c>
      <c r="C102" s="120" t="s">
        <v>460</v>
      </c>
      <c r="D102" s="78" t="s">
        <v>461</v>
      </c>
      <c r="E102" s="97" t="s">
        <v>127</v>
      </c>
      <c r="F102" s="97" t="s">
        <v>74</v>
      </c>
      <c r="G102" s="97" t="s">
        <v>129</v>
      </c>
      <c r="H102" s="97" t="s">
        <v>378</v>
      </c>
      <c r="I102" s="105"/>
      <c r="J102" s="93">
        <v>0.05</v>
      </c>
      <c r="K102" s="129">
        <v>5</v>
      </c>
      <c r="L102" s="105"/>
      <c r="M102" s="97" t="s">
        <v>359</v>
      </c>
      <c r="N102" s="97" t="s">
        <v>462</v>
      </c>
      <c r="O102" s="105"/>
      <c r="P102" s="105"/>
      <c r="Q102" s="105"/>
      <c r="R102" s="105"/>
      <c r="S102" s="105"/>
      <c r="T102" s="105"/>
      <c r="U102" s="97" t="s">
        <v>91</v>
      </c>
      <c r="V102" s="105"/>
      <c r="W102" s="105"/>
      <c r="X102" s="105"/>
    </row>
    <row r="103" spans="2:24" ht="75" x14ac:dyDescent="0.25">
      <c r="B103" s="79">
        <v>100</v>
      </c>
      <c r="C103" s="78" t="s">
        <v>468</v>
      </c>
      <c r="D103" s="78" t="s">
        <v>469</v>
      </c>
      <c r="E103" s="105"/>
      <c r="F103" s="97" t="s">
        <v>81</v>
      </c>
      <c r="G103" s="97" t="s">
        <v>87</v>
      </c>
      <c r="H103" s="97" t="s">
        <v>304</v>
      </c>
      <c r="I103" s="105"/>
      <c r="J103" s="93"/>
      <c r="K103" s="93">
        <v>1.51</v>
      </c>
      <c r="L103" s="93">
        <v>1.51</v>
      </c>
      <c r="M103" s="97" t="s">
        <v>470</v>
      </c>
      <c r="N103" s="97" t="s">
        <v>470</v>
      </c>
      <c r="O103" s="97" t="s">
        <v>277</v>
      </c>
      <c r="P103" s="97" t="s">
        <v>277</v>
      </c>
      <c r="Q103" s="97" t="s">
        <v>277</v>
      </c>
      <c r="R103" s="97" t="s">
        <v>277</v>
      </c>
      <c r="S103" s="102" t="s">
        <v>118</v>
      </c>
      <c r="T103" s="105"/>
      <c r="U103" s="97" t="s">
        <v>91</v>
      </c>
      <c r="V103" s="105"/>
      <c r="W103" s="97" t="s">
        <v>287</v>
      </c>
      <c r="X103" s="105"/>
    </row>
    <row r="104" spans="2:24" ht="45" x14ac:dyDescent="0.25">
      <c r="B104" s="79">
        <v>101</v>
      </c>
      <c r="C104" s="78" t="s">
        <v>472</v>
      </c>
      <c r="D104" s="78" t="s">
        <v>473</v>
      </c>
      <c r="E104" s="105"/>
      <c r="F104" s="97" t="s">
        <v>81</v>
      </c>
      <c r="G104" s="97" t="s">
        <v>100</v>
      </c>
      <c r="H104" s="97" t="s">
        <v>378</v>
      </c>
      <c r="I104" s="105"/>
      <c r="J104" s="105"/>
      <c r="K104" s="93">
        <v>0.26</v>
      </c>
      <c r="L104" s="93">
        <v>0.26</v>
      </c>
      <c r="M104" s="97" t="s">
        <v>474</v>
      </c>
      <c r="N104" s="97" t="s">
        <v>474</v>
      </c>
      <c r="O104" s="97" t="s">
        <v>277</v>
      </c>
      <c r="P104" s="97" t="s">
        <v>277</v>
      </c>
      <c r="Q104" s="97" t="s">
        <v>277</v>
      </c>
      <c r="R104" s="97" t="s">
        <v>277</v>
      </c>
      <c r="S104" s="102" t="s">
        <v>118</v>
      </c>
      <c r="T104" s="105"/>
      <c r="U104" s="97" t="s">
        <v>91</v>
      </c>
      <c r="V104" s="105"/>
      <c r="W104" s="97" t="s">
        <v>287</v>
      </c>
      <c r="X104" s="105"/>
    </row>
    <row r="105" spans="2:24" ht="90" x14ac:dyDescent="0.25">
      <c r="B105" s="79">
        <v>102</v>
      </c>
      <c r="C105" s="78" t="s">
        <v>476</v>
      </c>
      <c r="D105" s="120" t="s">
        <v>477</v>
      </c>
      <c r="E105" s="105"/>
      <c r="F105" s="97" t="s">
        <v>74</v>
      </c>
      <c r="G105" s="97" t="s">
        <v>129</v>
      </c>
      <c r="H105" s="97" t="s">
        <v>378</v>
      </c>
      <c r="I105" s="105"/>
      <c r="J105" s="93">
        <v>0.01</v>
      </c>
      <c r="K105" s="101">
        <v>1</v>
      </c>
      <c r="L105" s="105"/>
      <c r="M105" s="97" t="s">
        <v>478</v>
      </c>
      <c r="N105" s="97" t="s">
        <v>263</v>
      </c>
      <c r="O105" s="105"/>
      <c r="P105" s="105"/>
      <c r="Q105" s="105"/>
      <c r="R105" s="105"/>
      <c r="S105" s="105"/>
      <c r="T105" s="105"/>
      <c r="U105" s="97" t="s">
        <v>91</v>
      </c>
      <c r="V105" s="105"/>
      <c r="W105" s="105"/>
      <c r="X105" s="105"/>
    </row>
    <row r="106" spans="2:24" ht="90" x14ac:dyDescent="0.25">
      <c r="B106" s="79">
        <v>103</v>
      </c>
      <c r="C106" s="120" t="s">
        <v>479</v>
      </c>
      <c r="D106" s="117" t="s">
        <v>480</v>
      </c>
      <c r="E106" s="105"/>
      <c r="F106" s="97" t="s">
        <v>74</v>
      </c>
      <c r="G106" s="97" t="s">
        <v>129</v>
      </c>
      <c r="H106" s="97" t="s">
        <v>378</v>
      </c>
      <c r="I106" s="97" t="s">
        <v>111</v>
      </c>
      <c r="J106" s="124">
        <v>0.06</v>
      </c>
      <c r="K106" s="124">
        <v>6</v>
      </c>
      <c r="L106" s="105"/>
      <c r="M106" s="97" t="s">
        <v>470</v>
      </c>
      <c r="N106" s="97" t="s">
        <v>481</v>
      </c>
      <c r="O106" s="105"/>
      <c r="P106" s="105"/>
      <c r="Q106" s="105"/>
      <c r="R106" s="105"/>
      <c r="S106" s="105"/>
      <c r="T106" s="105"/>
      <c r="U106" s="97" t="s">
        <v>91</v>
      </c>
      <c r="V106" s="105"/>
      <c r="W106" s="105"/>
      <c r="X106" s="105"/>
    </row>
    <row r="109" spans="2:24" x14ac:dyDescent="0.25">
      <c r="K109" s="130">
        <f>SUM(K4:K106)</f>
        <v>4812.5972535999954</v>
      </c>
    </row>
  </sheetData>
  <autoFilter ref="B3:X106"/>
  <mergeCells count="1">
    <mergeCell ref="C2:M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A23"/>
  <sheetViews>
    <sheetView topLeftCell="C11" zoomScale="85" zoomScaleNormal="85" workbookViewId="0">
      <selection activeCell="D18" sqref="D18"/>
    </sheetView>
  </sheetViews>
  <sheetFormatPr defaultRowHeight="15" x14ac:dyDescent="0.25"/>
  <cols>
    <col min="1" max="3" width="9.140625" style="20"/>
    <col min="4" max="4" width="41.85546875" style="20" customWidth="1"/>
    <col min="5" max="5" width="33.28515625" style="20" customWidth="1"/>
    <col min="6" max="6" width="27.7109375" style="20" customWidth="1"/>
    <col min="7" max="7" width="22.140625" style="20" customWidth="1"/>
    <col min="8" max="9" width="22.5703125" style="20" customWidth="1"/>
    <col min="10" max="10" width="13.42578125" style="20" customWidth="1"/>
    <col min="11" max="11" width="23.28515625" style="20" customWidth="1"/>
    <col min="12" max="12" width="18.28515625" style="20" customWidth="1"/>
    <col min="13" max="13" width="17" style="20" customWidth="1"/>
    <col min="14" max="14" width="16.85546875" style="20" bestFit="1" customWidth="1"/>
    <col min="15" max="15" width="21.7109375" style="20" customWidth="1"/>
    <col min="16" max="16" width="22.28515625" style="20" customWidth="1"/>
    <col min="17" max="17" width="16.7109375" style="20" customWidth="1"/>
    <col min="18" max="18" width="32.42578125" style="20" customWidth="1"/>
    <col min="19" max="19" width="23" style="20" customWidth="1"/>
    <col min="20" max="20" width="23.5703125" style="20" customWidth="1"/>
    <col min="21" max="21" width="21.140625" style="20" customWidth="1"/>
    <col min="22" max="22" width="14.28515625" style="20" customWidth="1"/>
    <col min="23" max="23" width="32.140625" style="20" customWidth="1"/>
    <col min="24" max="24" width="17.5703125" style="20" customWidth="1"/>
    <col min="25" max="25" width="23.28515625" style="20" customWidth="1"/>
    <col min="26" max="26" width="28.28515625" style="20" customWidth="1"/>
    <col min="27" max="27" width="18.140625" style="20" customWidth="1"/>
    <col min="28" max="16384" width="9.140625" style="20"/>
  </cols>
  <sheetData>
    <row r="1" spans="2:27" ht="15.75" thickBot="1" x14ac:dyDescent="0.3"/>
    <row r="2" spans="2:27" ht="15.75" thickBot="1" x14ac:dyDescent="0.3">
      <c r="B2" s="133"/>
      <c r="C2" s="169" t="s">
        <v>67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1"/>
      <c r="U2" s="134"/>
      <c r="V2" s="135"/>
      <c r="W2" s="135"/>
      <c r="X2" s="136"/>
      <c r="Y2" s="136"/>
      <c r="Z2" s="136"/>
      <c r="AA2" s="137"/>
    </row>
    <row r="3" spans="2:27" s="142" customFormat="1" ht="45" x14ac:dyDescent="0.25">
      <c r="B3" s="138"/>
      <c r="C3" s="81" t="s">
        <v>31</v>
      </c>
      <c r="D3" s="82" t="s">
        <v>32</v>
      </c>
      <c r="E3" s="82" t="s">
        <v>50</v>
      </c>
      <c r="F3" s="82" t="s">
        <v>51</v>
      </c>
      <c r="G3" s="82" t="s">
        <v>52</v>
      </c>
      <c r="H3" s="82" t="s">
        <v>53</v>
      </c>
      <c r="I3" s="82" t="s">
        <v>275</v>
      </c>
      <c r="J3" s="139" t="s">
        <v>36</v>
      </c>
      <c r="K3" s="82" t="s">
        <v>54</v>
      </c>
      <c r="L3" s="82" t="s">
        <v>55</v>
      </c>
      <c r="M3" s="82" t="s">
        <v>56</v>
      </c>
      <c r="N3" s="84" t="s">
        <v>39</v>
      </c>
      <c r="O3" s="140" t="s">
        <v>57</v>
      </c>
      <c r="P3" s="140" t="s">
        <v>58</v>
      </c>
      <c r="Q3" s="82" t="s">
        <v>59</v>
      </c>
      <c r="R3" s="82" t="s">
        <v>60</v>
      </c>
      <c r="S3" s="82" t="s">
        <v>61</v>
      </c>
      <c r="T3" s="82" t="s">
        <v>44</v>
      </c>
      <c r="U3" s="82" t="s">
        <v>65</v>
      </c>
      <c r="V3" s="82" t="s">
        <v>46</v>
      </c>
      <c r="W3" s="82" t="s">
        <v>62</v>
      </c>
      <c r="X3" s="82" t="s">
        <v>63</v>
      </c>
      <c r="Y3" s="87" t="s">
        <v>48</v>
      </c>
      <c r="Z3" s="87" t="s">
        <v>49</v>
      </c>
      <c r="AA3" s="141" t="s">
        <v>64</v>
      </c>
    </row>
    <row r="4" spans="2:27" ht="90" x14ac:dyDescent="0.25">
      <c r="B4" s="143"/>
      <c r="C4" s="144">
        <v>1</v>
      </c>
      <c r="D4" s="145" t="s">
        <v>93</v>
      </c>
      <c r="E4" s="78" t="s">
        <v>94</v>
      </c>
      <c r="F4" s="97" t="s">
        <v>74</v>
      </c>
      <c r="G4" s="97" t="s">
        <v>95</v>
      </c>
      <c r="H4" s="97" t="s">
        <v>111</v>
      </c>
      <c r="I4" s="97"/>
      <c r="J4" s="97"/>
      <c r="K4" s="104">
        <v>16.600000000000001</v>
      </c>
      <c r="L4" s="97"/>
      <c r="M4" s="117"/>
      <c r="N4" s="97" t="s">
        <v>96</v>
      </c>
      <c r="O4" s="97" t="s">
        <v>97</v>
      </c>
      <c r="P4" s="117"/>
      <c r="Q4" s="117"/>
      <c r="R4" s="117"/>
      <c r="S4" s="117"/>
      <c r="T4" s="117"/>
      <c r="U4" s="117"/>
      <c r="V4" s="97" t="s">
        <v>91</v>
      </c>
      <c r="W4" s="97" t="s">
        <v>84</v>
      </c>
      <c r="X4" s="117"/>
      <c r="Y4" s="117"/>
      <c r="Z4" s="117"/>
      <c r="AA4" s="146" t="s">
        <v>98</v>
      </c>
    </row>
    <row r="5" spans="2:27" ht="90" x14ac:dyDescent="0.25">
      <c r="B5" s="143"/>
      <c r="C5" s="144">
        <v>2</v>
      </c>
      <c r="D5" s="145" t="s">
        <v>128</v>
      </c>
      <c r="E5" s="78" t="s">
        <v>99</v>
      </c>
      <c r="F5" s="97" t="s">
        <v>74</v>
      </c>
      <c r="G5" s="97" t="s">
        <v>100</v>
      </c>
      <c r="H5" s="79"/>
      <c r="I5" s="79"/>
      <c r="J5" s="97"/>
      <c r="K5" s="97">
        <v>4.5</v>
      </c>
      <c r="L5" s="97"/>
      <c r="M5" s="117"/>
      <c r="N5" s="97" t="s">
        <v>101</v>
      </c>
      <c r="O5" s="97" t="s">
        <v>102</v>
      </c>
      <c r="P5" s="117"/>
      <c r="Q5" s="117"/>
      <c r="R5" s="147"/>
      <c r="S5" s="147"/>
      <c r="T5" s="147"/>
      <c r="U5" s="147"/>
      <c r="V5" s="97" t="s">
        <v>91</v>
      </c>
      <c r="W5" s="97" t="s">
        <v>84</v>
      </c>
      <c r="X5" s="117"/>
      <c r="Y5" s="117"/>
      <c r="Z5" s="117"/>
      <c r="AA5" s="148"/>
    </row>
    <row r="6" spans="2:27" ht="45" x14ac:dyDescent="0.25">
      <c r="B6" s="143"/>
      <c r="C6" s="144">
        <v>3</v>
      </c>
      <c r="D6" s="145" t="s">
        <v>103</v>
      </c>
      <c r="E6" s="78" t="s">
        <v>104</v>
      </c>
      <c r="F6" s="97" t="s">
        <v>74</v>
      </c>
      <c r="G6" s="97" t="s">
        <v>100</v>
      </c>
      <c r="H6" s="79"/>
      <c r="I6" s="79"/>
      <c r="J6" s="97"/>
      <c r="K6" s="97">
        <v>1.04</v>
      </c>
      <c r="L6" s="97">
        <v>1.04</v>
      </c>
      <c r="M6" s="117"/>
      <c r="N6" s="97" t="s">
        <v>105</v>
      </c>
      <c r="O6" s="97" t="s">
        <v>106</v>
      </c>
      <c r="P6" s="117"/>
      <c r="Q6" s="117"/>
      <c r="R6" s="117"/>
      <c r="S6" s="117"/>
      <c r="T6" s="117"/>
      <c r="U6" s="117"/>
      <c r="V6" s="97" t="s">
        <v>91</v>
      </c>
      <c r="W6" s="97" t="s">
        <v>118</v>
      </c>
      <c r="X6" s="117"/>
      <c r="Y6" s="117"/>
      <c r="Z6" s="117"/>
      <c r="AA6" s="117"/>
    </row>
    <row r="7" spans="2:27" ht="79.5" customHeight="1" x14ac:dyDescent="0.25">
      <c r="C7" s="144">
        <v>4</v>
      </c>
      <c r="D7" s="78" t="s">
        <v>114</v>
      </c>
      <c r="E7" s="78" t="s">
        <v>112</v>
      </c>
      <c r="F7" s="97" t="s">
        <v>74</v>
      </c>
      <c r="G7" s="97"/>
      <c r="H7" s="105"/>
      <c r="I7" s="105"/>
      <c r="J7" s="105"/>
      <c r="K7" s="104">
        <v>2</v>
      </c>
      <c r="L7" s="105"/>
      <c r="M7" s="105"/>
      <c r="N7" s="97" t="s">
        <v>113</v>
      </c>
      <c r="O7" s="97" t="s">
        <v>115</v>
      </c>
      <c r="P7" s="105"/>
      <c r="Q7" s="105"/>
      <c r="R7" s="105"/>
      <c r="S7" s="105"/>
      <c r="T7" s="105"/>
      <c r="U7" s="105"/>
      <c r="V7" s="97" t="s">
        <v>91</v>
      </c>
      <c r="W7" s="97" t="s">
        <v>84</v>
      </c>
      <c r="X7" s="105"/>
      <c r="Y7" s="105"/>
      <c r="Z7" s="105"/>
      <c r="AA7" s="105"/>
    </row>
    <row r="8" spans="2:27" ht="45" x14ac:dyDescent="0.25">
      <c r="C8" s="144">
        <v>5</v>
      </c>
      <c r="D8" s="149" t="s">
        <v>132</v>
      </c>
      <c r="E8" s="91" t="s">
        <v>134</v>
      </c>
      <c r="F8" s="97" t="s">
        <v>74</v>
      </c>
      <c r="G8" s="98" t="s">
        <v>136</v>
      </c>
      <c r="H8" s="105"/>
      <c r="I8" s="105"/>
      <c r="J8" s="105"/>
      <c r="K8" s="97">
        <v>30</v>
      </c>
      <c r="L8" s="105"/>
      <c r="M8" s="105"/>
      <c r="N8" s="108">
        <v>45352</v>
      </c>
      <c r="O8" s="105"/>
      <c r="P8" s="105"/>
      <c r="Q8" s="105"/>
      <c r="R8" s="105"/>
      <c r="S8" s="105"/>
      <c r="T8" s="105"/>
      <c r="U8" s="105"/>
      <c r="V8" s="105"/>
      <c r="W8" s="97" t="s">
        <v>84</v>
      </c>
      <c r="X8" s="105"/>
      <c r="Y8" s="105"/>
      <c r="Z8" s="105"/>
      <c r="AA8" s="105"/>
    </row>
    <row r="9" spans="2:27" ht="30" x14ac:dyDescent="0.25">
      <c r="C9" s="144">
        <v>6</v>
      </c>
      <c r="D9" s="149" t="s">
        <v>133</v>
      </c>
      <c r="E9" s="91" t="s">
        <v>135</v>
      </c>
      <c r="F9" s="97" t="s">
        <v>74</v>
      </c>
      <c r="G9" s="97" t="s">
        <v>100</v>
      </c>
      <c r="H9" s="105"/>
      <c r="I9" s="105"/>
      <c r="J9" s="105"/>
      <c r="K9" s="97">
        <v>2.37</v>
      </c>
      <c r="L9" s="97">
        <v>2.37</v>
      </c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97" t="s">
        <v>118</v>
      </c>
      <c r="X9" s="105"/>
      <c r="Y9" s="105" t="s">
        <v>344</v>
      </c>
      <c r="Z9" s="105"/>
      <c r="AA9" s="105"/>
    </row>
    <row r="10" spans="2:27" ht="27.75" customHeight="1" x14ac:dyDescent="0.25">
      <c r="C10" s="144">
        <v>7</v>
      </c>
      <c r="D10" s="149" t="s">
        <v>138</v>
      </c>
      <c r="E10" s="77"/>
      <c r="F10" s="97" t="s">
        <v>74</v>
      </c>
      <c r="G10" s="97" t="s">
        <v>95</v>
      </c>
      <c r="H10" s="105"/>
      <c r="I10" s="105"/>
      <c r="J10" s="105"/>
      <c r="K10" s="97">
        <v>1.8</v>
      </c>
      <c r="L10" s="79">
        <v>1.8</v>
      </c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97" t="s">
        <v>118</v>
      </c>
      <c r="X10" s="105"/>
      <c r="Y10" s="105" t="s">
        <v>345</v>
      </c>
      <c r="Z10" s="105"/>
      <c r="AA10" s="105"/>
    </row>
    <row r="11" spans="2:27" ht="27" customHeight="1" x14ac:dyDescent="0.25">
      <c r="C11" s="144">
        <v>8</v>
      </c>
      <c r="D11" s="149" t="s">
        <v>139</v>
      </c>
      <c r="E11" s="77" t="s">
        <v>140</v>
      </c>
      <c r="F11" s="97"/>
      <c r="G11" s="97" t="s">
        <v>95</v>
      </c>
      <c r="H11" s="105"/>
      <c r="I11" s="105"/>
      <c r="J11" s="105"/>
      <c r="K11" s="97">
        <v>20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97" t="s">
        <v>118</v>
      </c>
      <c r="X11" s="105"/>
      <c r="Y11" s="105" t="s">
        <v>346</v>
      </c>
      <c r="Z11" s="105"/>
      <c r="AA11" s="105"/>
    </row>
    <row r="12" spans="2:27" ht="45" x14ac:dyDescent="0.25">
      <c r="C12" s="144">
        <v>9</v>
      </c>
      <c r="D12" s="120" t="s">
        <v>170</v>
      </c>
      <c r="E12" s="120" t="s">
        <v>172</v>
      </c>
      <c r="F12" s="97" t="s">
        <v>74</v>
      </c>
      <c r="G12" s="79" t="s">
        <v>95</v>
      </c>
      <c r="H12" s="105"/>
      <c r="I12" s="105"/>
      <c r="J12" s="105"/>
      <c r="K12" s="97">
        <v>100</v>
      </c>
      <c r="L12" s="97">
        <v>100</v>
      </c>
      <c r="M12" s="105"/>
      <c r="N12" s="97" t="s">
        <v>90</v>
      </c>
      <c r="O12" s="97" t="s">
        <v>171</v>
      </c>
      <c r="P12" s="105"/>
      <c r="Q12" s="105"/>
      <c r="R12" s="105"/>
      <c r="S12" s="105"/>
      <c r="T12" s="105"/>
      <c r="U12" s="105"/>
      <c r="V12" s="105"/>
      <c r="W12" s="97" t="s">
        <v>118</v>
      </c>
      <c r="X12" s="105"/>
      <c r="Y12" s="105"/>
      <c r="Z12" s="105"/>
      <c r="AA12" s="105"/>
    </row>
    <row r="13" spans="2:27" s="150" customFormat="1" ht="128.25" customHeight="1" x14ac:dyDescent="0.25">
      <c r="C13" s="144">
        <v>10</v>
      </c>
      <c r="D13" s="78" t="s">
        <v>245</v>
      </c>
      <c r="E13" s="78" t="s">
        <v>244</v>
      </c>
      <c r="F13" s="79" t="s">
        <v>74</v>
      </c>
      <c r="G13" s="79" t="s">
        <v>252</v>
      </c>
      <c r="H13" s="79"/>
      <c r="I13" s="79"/>
      <c r="J13" s="79"/>
      <c r="K13" s="97">
        <v>10</v>
      </c>
      <c r="L13" s="79"/>
      <c r="M13" s="79"/>
      <c r="N13" s="79" t="s">
        <v>247</v>
      </c>
      <c r="O13" s="79" t="s">
        <v>246</v>
      </c>
      <c r="P13" s="77"/>
      <c r="Q13" s="77"/>
      <c r="R13" s="77"/>
      <c r="S13" s="77"/>
      <c r="T13" s="77"/>
      <c r="U13" s="77"/>
      <c r="V13" s="77"/>
      <c r="W13" s="97" t="s">
        <v>84</v>
      </c>
      <c r="X13" s="77"/>
      <c r="Y13" s="77"/>
      <c r="Z13" s="77"/>
      <c r="AA13" s="77"/>
    </row>
    <row r="14" spans="2:27" ht="30" x14ac:dyDescent="0.25">
      <c r="C14" s="144">
        <v>11</v>
      </c>
      <c r="D14" s="78" t="s">
        <v>248</v>
      </c>
      <c r="E14" s="77" t="s">
        <v>249</v>
      </c>
      <c r="F14" s="79" t="s">
        <v>74</v>
      </c>
      <c r="G14" s="105"/>
      <c r="H14" s="105"/>
      <c r="I14" s="105"/>
      <c r="J14" s="105"/>
      <c r="K14" s="97">
        <v>10</v>
      </c>
      <c r="L14" s="105"/>
      <c r="M14" s="105"/>
      <c r="N14" s="79" t="s">
        <v>250</v>
      </c>
      <c r="O14" s="79" t="s">
        <v>251</v>
      </c>
      <c r="P14" s="105"/>
      <c r="Q14" s="105"/>
      <c r="R14" s="105"/>
      <c r="S14" s="105"/>
      <c r="T14" s="105"/>
      <c r="U14" s="105"/>
      <c r="V14" s="105"/>
      <c r="W14" s="97" t="s">
        <v>84</v>
      </c>
      <c r="X14" s="105"/>
      <c r="Y14" s="105"/>
      <c r="Z14" s="105"/>
      <c r="AA14" s="105"/>
    </row>
    <row r="15" spans="2:27" x14ac:dyDescent="0.25">
      <c r="C15" s="144">
        <v>12</v>
      </c>
      <c r="D15" s="77" t="s">
        <v>253</v>
      </c>
      <c r="E15" s="77" t="s">
        <v>255</v>
      </c>
      <c r="F15" s="79" t="s">
        <v>74</v>
      </c>
      <c r="G15" s="105"/>
      <c r="H15" s="105"/>
      <c r="I15" s="77">
        <v>1130001261</v>
      </c>
      <c r="J15" s="105"/>
      <c r="K15" s="97">
        <v>50.55</v>
      </c>
      <c r="L15" s="105"/>
      <c r="M15" s="105"/>
      <c r="N15" s="79" t="s">
        <v>256</v>
      </c>
      <c r="O15" s="79" t="s">
        <v>246</v>
      </c>
      <c r="P15" s="105"/>
      <c r="Q15" s="105"/>
      <c r="R15" s="105"/>
      <c r="S15" s="105"/>
      <c r="T15" s="105"/>
      <c r="U15" s="105"/>
      <c r="V15" s="105"/>
      <c r="W15" s="97" t="s">
        <v>84</v>
      </c>
      <c r="X15" s="105"/>
      <c r="Y15" s="105"/>
      <c r="Z15" s="105"/>
      <c r="AA15" s="105"/>
    </row>
    <row r="16" spans="2:27" ht="30" x14ac:dyDescent="0.25">
      <c r="C16" s="144">
        <v>13</v>
      </c>
      <c r="D16" s="78" t="s">
        <v>254</v>
      </c>
      <c r="E16" s="77" t="s">
        <v>255</v>
      </c>
      <c r="F16" s="79" t="s">
        <v>74</v>
      </c>
      <c r="G16" s="105"/>
      <c r="H16" s="105"/>
      <c r="I16" s="77">
        <v>1130001262</v>
      </c>
      <c r="J16" s="105"/>
      <c r="K16" s="97">
        <v>50.55</v>
      </c>
      <c r="L16" s="105"/>
      <c r="M16" s="105"/>
      <c r="N16" s="79" t="s">
        <v>256</v>
      </c>
      <c r="O16" s="79" t="s">
        <v>257</v>
      </c>
      <c r="P16" s="105"/>
      <c r="Q16" s="105"/>
      <c r="R16" s="105"/>
      <c r="S16" s="105"/>
      <c r="T16" s="105"/>
      <c r="U16" s="105"/>
      <c r="V16" s="105"/>
      <c r="W16" s="97" t="s">
        <v>84</v>
      </c>
      <c r="X16" s="105"/>
      <c r="Y16" s="105"/>
      <c r="Z16" s="105"/>
      <c r="AA16" s="105"/>
    </row>
    <row r="17" spans="3:27" ht="104.25" customHeight="1" x14ac:dyDescent="0.25">
      <c r="C17" s="144">
        <v>14</v>
      </c>
      <c r="D17" s="78" t="s">
        <v>448</v>
      </c>
      <c r="E17" s="77" t="s">
        <v>449</v>
      </c>
      <c r="F17" s="79" t="s">
        <v>74</v>
      </c>
      <c r="G17" s="97" t="s">
        <v>100</v>
      </c>
      <c r="H17" s="105"/>
      <c r="I17" s="105"/>
      <c r="J17" s="105"/>
      <c r="K17" s="151">
        <v>20</v>
      </c>
      <c r="L17" s="105"/>
      <c r="M17" s="105"/>
      <c r="N17" s="97" t="s">
        <v>338</v>
      </c>
      <c r="O17" s="97" t="s">
        <v>386</v>
      </c>
      <c r="P17" s="105"/>
      <c r="Q17" s="105"/>
      <c r="R17" s="105"/>
      <c r="S17" s="105"/>
      <c r="T17" s="105"/>
      <c r="U17" s="105"/>
      <c r="V17" s="97" t="s">
        <v>91</v>
      </c>
      <c r="W17" s="105"/>
      <c r="X17" s="105"/>
      <c r="Y17" s="105"/>
      <c r="Z17" s="105"/>
      <c r="AA17" s="105"/>
    </row>
    <row r="18" spans="3:27" ht="30" x14ac:dyDescent="0.25">
      <c r="C18" s="152">
        <v>15</v>
      </c>
      <c r="D18" s="120" t="s">
        <v>463</v>
      </c>
      <c r="E18" s="120" t="s">
        <v>464</v>
      </c>
      <c r="F18" s="79" t="s">
        <v>74</v>
      </c>
      <c r="G18" s="97" t="s">
        <v>100</v>
      </c>
      <c r="H18" s="105"/>
      <c r="I18" s="105"/>
      <c r="J18" s="105"/>
      <c r="K18" s="151">
        <v>1</v>
      </c>
      <c r="L18" s="105"/>
      <c r="M18" s="105"/>
      <c r="N18" s="97" t="s">
        <v>264</v>
      </c>
      <c r="O18" s="97" t="s">
        <v>465</v>
      </c>
      <c r="P18" s="105"/>
      <c r="Q18" s="105"/>
      <c r="R18" s="105"/>
      <c r="S18" s="105"/>
      <c r="T18" s="105"/>
      <c r="U18" s="105"/>
      <c r="V18" s="97" t="s">
        <v>91</v>
      </c>
      <c r="W18" s="105"/>
      <c r="X18" s="105"/>
      <c r="Y18" s="105"/>
      <c r="Z18" s="105"/>
      <c r="AA18" s="105"/>
    </row>
    <row r="23" spans="3:27" x14ac:dyDescent="0.25">
      <c r="K23" s="153">
        <f>SUM(K4:K18)</f>
        <v>320.41000000000003</v>
      </c>
    </row>
  </sheetData>
  <autoFilter ref="C3:AA18"/>
  <mergeCells count="1">
    <mergeCell ref="C2:T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6"/>
  <sheetViews>
    <sheetView zoomScale="85" zoomScaleNormal="85" workbookViewId="0">
      <selection activeCell="D36" sqref="D36"/>
    </sheetView>
  </sheetViews>
  <sheetFormatPr defaultRowHeight="18" x14ac:dyDescent="0.25"/>
  <cols>
    <col min="1" max="3" width="9.140625" style="25"/>
    <col min="4" max="4" width="46" style="25" bestFit="1" customWidth="1"/>
    <col min="5" max="5" width="16.140625" style="25" customWidth="1"/>
    <col min="6" max="6" width="21" style="25" customWidth="1"/>
    <col min="7" max="7" width="9.140625" style="25"/>
    <col min="8" max="8" width="23.42578125" style="25" customWidth="1"/>
    <col min="9" max="9" width="12.140625" style="25" customWidth="1"/>
    <col min="10" max="16384" width="9.140625" style="25"/>
  </cols>
  <sheetData>
    <row r="2" spans="3:10" ht="26.25" x14ac:dyDescent="0.25">
      <c r="D2" s="172" t="s">
        <v>68</v>
      </c>
      <c r="E2" s="172"/>
      <c r="F2" s="172"/>
    </row>
    <row r="3" spans="3:10" ht="18.75" thickBot="1" x14ac:dyDescent="0.3">
      <c r="D3" s="26"/>
    </row>
    <row r="4" spans="3:10" ht="18.75" thickBot="1" x14ac:dyDescent="0.3">
      <c r="C4" s="173" t="s">
        <v>12</v>
      </c>
      <c r="D4" s="174"/>
      <c r="E4" s="174"/>
      <c r="F4" s="174"/>
      <c r="G4" s="174"/>
      <c r="H4" s="174"/>
      <c r="I4" s="175"/>
    </row>
    <row r="5" spans="3:10" ht="18.75" thickBot="1" x14ac:dyDescent="0.3">
      <c r="C5" s="27" t="s">
        <v>69</v>
      </c>
      <c r="D5" s="28" t="s">
        <v>70</v>
      </c>
      <c r="E5" s="29" t="s">
        <v>71</v>
      </c>
      <c r="F5" s="30" t="s">
        <v>72</v>
      </c>
      <c r="G5" s="31"/>
      <c r="H5" s="31"/>
      <c r="I5" s="31"/>
      <c r="J5" s="31"/>
    </row>
    <row r="6" spans="3:10" x14ac:dyDescent="0.25">
      <c r="C6" s="32">
        <v>1</v>
      </c>
      <c r="D6" s="127" t="s">
        <v>73</v>
      </c>
      <c r="E6" s="34">
        <v>103</v>
      </c>
      <c r="F6" s="35">
        <v>4812</v>
      </c>
      <c r="G6" s="31"/>
      <c r="H6" s="36" t="s">
        <v>74</v>
      </c>
      <c r="I6" s="37">
        <v>29</v>
      </c>
      <c r="J6" s="31"/>
    </row>
    <row r="7" spans="3:10" x14ac:dyDescent="0.25">
      <c r="C7" s="38">
        <v>2</v>
      </c>
      <c r="D7" s="39" t="s">
        <v>75</v>
      </c>
      <c r="E7" s="40">
        <v>20</v>
      </c>
      <c r="F7" s="41">
        <v>2797</v>
      </c>
      <c r="G7" s="31"/>
      <c r="H7" s="42" t="s">
        <v>76</v>
      </c>
      <c r="I7" s="43">
        <v>7</v>
      </c>
      <c r="J7" s="31"/>
    </row>
    <row r="8" spans="3:10" x14ac:dyDescent="0.25">
      <c r="C8" s="38">
        <v>3</v>
      </c>
      <c r="D8" s="126" t="s">
        <v>475</v>
      </c>
      <c r="E8" s="40">
        <v>70</v>
      </c>
      <c r="F8" s="41">
        <v>1771</v>
      </c>
      <c r="G8" s="31"/>
      <c r="H8" s="42" t="s">
        <v>78</v>
      </c>
      <c r="I8" s="43">
        <v>6</v>
      </c>
      <c r="J8" s="31"/>
    </row>
    <row r="9" spans="3:10" x14ac:dyDescent="0.25">
      <c r="C9" s="38">
        <v>4</v>
      </c>
      <c r="D9" s="39" t="s">
        <v>79</v>
      </c>
      <c r="E9" s="44">
        <v>3</v>
      </c>
      <c r="F9" s="45">
        <v>9.64</v>
      </c>
      <c r="G9" s="31"/>
      <c r="H9" s="42" t="s">
        <v>81</v>
      </c>
      <c r="I9" s="43">
        <v>61</v>
      </c>
      <c r="J9" s="31"/>
    </row>
    <row r="10" spans="3:10" ht="18.75" thickBot="1" x14ac:dyDescent="0.3">
      <c r="C10" s="38">
        <v>5</v>
      </c>
      <c r="D10" s="39" t="s">
        <v>80</v>
      </c>
      <c r="E10" s="40">
        <v>2</v>
      </c>
      <c r="F10" s="41">
        <v>61</v>
      </c>
      <c r="G10" s="31"/>
      <c r="H10" s="49" t="s">
        <v>83</v>
      </c>
      <c r="I10" s="50"/>
      <c r="J10" s="31"/>
    </row>
    <row r="11" spans="3:10" ht="18.75" thickBot="1" x14ac:dyDescent="0.3">
      <c r="C11" s="46">
        <v>6</v>
      </c>
      <c r="D11" s="39" t="s">
        <v>82</v>
      </c>
      <c r="E11" s="40">
        <v>61</v>
      </c>
      <c r="F11" s="131">
        <v>583</v>
      </c>
      <c r="G11" s="31"/>
      <c r="J11" s="31"/>
    </row>
    <row r="12" spans="3:10" x14ac:dyDescent="0.25">
      <c r="C12" s="51"/>
      <c r="D12" s="51"/>
      <c r="E12" s="51"/>
      <c r="F12" s="51"/>
      <c r="G12" s="51"/>
      <c r="H12" s="51"/>
      <c r="I12" s="31"/>
      <c r="J12" s="31"/>
    </row>
    <row r="13" spans="3:10" x14ac:dyDescent="0.25">
      <c r="C13" s="51"/>
      <c r="D13" s="51"/>
      <c r="E13" s="51"/>
      <c r="F13" s="51"/>
      <c r="G13" s="51"/>
      <c r="H13" s="51"/>
      <c r="I13" s="31"/>
      <c r="J13" s="31"/>
    </row>
    <row r="14" spans="3:10" ht="18.75" thickBot="1" x14ac:dyDescent="0.3">
      <c r="C14" s="51"/>
      <c r="D14" s="51"/>
      <c r="E14" s="51"/>
      <c r="F14" s="51"/>
      <c r="G14" s="51"/>
      <c r="H14" s="51"/>
      <c r="I14" s="31"/>
      <c r="J14" s="31"/>
    </row>
    <row r="15" spans="3:10" ht="18.75" thickBot="1" x14ac:dyDescent="0.3">
      <c r="C15" s="176" t="s">
        <v>14</v>
      </c>
      <c r="D15" s="177"/>
      <c r="E15" s="177"/>
      <c r="F15" s="177"/>
      <c r="G15" s="177"/>
      <c r="H15" s="177"/>
      <c r="I15" s="178"/>
      <c r="J15" s="31"/>
    </row>
    <row r="16" spans="3:10" ht="18.75" thickBot="1" x14ac:dyDescent="0.3">
      <c r="C16" s="27" t="s">
        <v>69</v>
      </c>
      <c r="D16" s="28" t="s">
        <v>70</v>
      </c>
      <c r="E16" s="29" t="s">
        <v>71</v>
      </c>
      <c r="F16" s="30" t="s">
        <v>72</v>
      </c>
      <c r="G16" s="31"/>
      <c r="H16" s="31"/>
      <c r="I16" s="31"/>
      <c r="J16" s="31"/>
    </row>
    <row r="17" spans="3:10" x14ac:dyDescent="0.25">
      <c r="C17" s="32">
        <v>1</v>
      </c>
      <c r="D17" s="33" t="s">
        <v>73</v>
      </c>
      <c r="E17" s="34">
        <v>15</v>
      </c>
      <c r="F17" s="35">
        <v>320</v>
      </c>
      <c r="G17" s="31"/>
      <c r="H17" s="36" t="s">
        <v>74</v>
      </c>
      <c r="I17" s="37">
        <v>15</v>
      </c>
      <c r="J17" s="31"/>
    </row>
    <row r="18" spans="3:10" x14ac:dyDescent="0.25">
      <c r="C18" s="32">
        <v>2</v>
      </c>
      <c r="D18" s="33" t="s">
        <v>84</v>
      </c>
      <c r="E18" s="34">
        <v>8</v>
      </c>
      <c r="F18" s="35">
        <v>174</v>
      </c>
      <c r="G18" s="31"/>
      <c r="H18" s="42" t="s">
        <v>76</v>
      </c>
      <c r="I18" s="43"/>
      <c r="J18" s="31"/>
    </row>
    <row r="19" spans="3:10" x14ac:dyDescent="0.25">
      <c r="C19" s="32">
        <v>3</v>
      </c>
      <c r="D19" s="39" t="s">
        <v>77</v>
      </c>
      <c r="E19" s="40">
        <v>5</v>
      </c>
      <c r="F19" s="41">
        <v>125</v>
      </c>
      <c r="G19" s="31"/>
      <c r="H19" s="42" t="s">
        <v>78</v>
      </c>
      <c r="I19" s="43"/>
      <c r="J19" s="31"/>
    </row>
    <row r="20" spans="3:10" x14ac:dyDescent="0.25">
      <c r="C20" s="32">
        <v>4</v>
      </c>
      <c r="D20" s="39" t="s">
        <v>79</v>
      </c>
      <c r="E20" s="40"/>
      <c r="F20" s="41"/>
      <c r="G20" s="31"/>
      <c r="H20" s="42" t="s">
        <v>81</v>
      </c>
      <c r="I20" s="43"/>
      <c r="J20" s="31"/>
    </row>
    <row r="21" spans="3:10" ht="18.75" thickBot="1" x14ac:dyDescent="0.3">
      <c r="C21" s="32">
        <v>5</v>
      </c>
      <c r="D21" s="39" t="s">
        <v>80</v>
      </c>
      <c r="E21" s="40"/>
      <c r="F21" s="41"/>
      <c r="G21" s="31"/>
      <c r="H21" s="53" t="s">
        <v>85</v>
      </c>
      <c r="I21" s="50"/>
      <c r="J21" s="31"/>
    </row>
    <row r="22" spans="3:10" ht="18.75" thickBot="1" x14ac:dyDescent="0.3">
      <c r="C22" s="46">
        <v>6</v>
      </c>
      <c r="D22" s="47" t="s">
        <v>82</v>
      </c>
      <c r="E22" s="48"/>
      <c r="F22" s="52"/>
      <c r="G22" s="31"/>
      <c r="J22" s="31"/>
    </row>
    <row r="23" spans="3:10" x14ac:dyDescent="0.25">
      <c r="C23" s="31"/>
      <c r="D23" s="31"/>
      <c r="E23" s="31"/>
      <c r="F23" s="31"/>
      <c r="G23" s="31"/>
      <c r="H23" s="31"/>
      <c r="I23" s="31"/>
      <c r="J23" s="31"/>
    </row>
    <row r="25" spans="3:10" x14ac:dyDescent="0.25">
      <c r="I25" s="25">
        <v>11</v>
      </c>
      <c r="J25" s="25">
        <v>166</v>
      </c>
    </row>
    <row r="26" spans="3:10" x14ac:dyDescent="0.25">
      <c r="I26" s="25">
        <v>2</v>
      </c>
      <c r="J26" s="25">
        <v>21</v>
      </c>
    </row>
  </sheetData>
  <mergeCells count="3">
    <mergeCell ref="D2:F2"/>
    <mergeCell ref="C4:I4"/>
    <mergeCell ref="C15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 Rxd</vt:lpstr>
      <vt:lpstr>Lost</vt:lpstr>
      <vt:lpstr>Leads-D</vt:lpstr>
      <vt:lpstr>Leads-E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2024-09-10T02:58:24Z</dcterms:modified>
</cp:coreProperties>
</file>